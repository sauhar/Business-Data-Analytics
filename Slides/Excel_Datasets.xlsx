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AWAI\Slides\"/>
    </mc:Choice>
  </mc:AlternateContent>
  <xr:revisionPtr revIDLastSave="0" documentId="13_ncr:1_{A16EDCD7-57A1-42C8-8593-B93B84A28826}" xr6:coauthVersionLast="47" xr6:coauthVersionMax="47" xr10:uidLastSave="{00000000-0000-0000-0000-000000000000}"/>
  <bookViews>
    <workbookView xWindow="-28920" yWindow="-3915" windowWidth="29040" windowHeight="15720" activeTab="1" xr2:uid="{00000000-000D-0000-FFFF-FFFF00000000}"/>
  </bookViews>
  <sheets>
    <sheet name="01 Employee Sales" sheetId="1" r:id="rId1"/>
    <sheet name="Supermarket Sales" sheetId="2" r:id="rId2"/>
  </sheets>
  <definedNames>
    <definedName name="_xlnm._FilterDatabase" localSheetId="0" hidden="1">'01 Employee Sales'!$A$2:$I$26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I3" i="1"/>
  <c r="E26" i="1"/>
  <c r="E25" i="1"/>
  <c r="F24" i="1"/>
  <c r="G24" i="1"/>
  <c r="E24" i="1"/>
  <c r="F23" i="1"/>
  <c r="G23" i="1"/>
  <c r="G3" i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3" i="2"/>
  <c r="J3" i="2"/>
  <c r="J2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F28" i="1"/>
  <c r="F26" i="1"/>
  <c r="F25" i="1"/>
  <c r="E23" i="1"/>
  <c r="G27" i="1"/>
  <c r="G4" i="1"/>
  <c r="G5" i="1"/>
  <c r="G6" i="1"/>
  <c r="I6" i="1" s="1"/>
  <c r="G7" i="1"/>
  <c r="G8" i="1"/>
  <c r="G9" i="1"/>
  <c r="G10" i="1"/>
  <c r="G11" i="1"/>
  <c r="G12" i="1"/>
  <c r="G13" i="1"/>
  <c r="G14" i="1"/>
  <c r="I14" i="1" s="1"/>
  <c r="G15" i="1"/>
  <c r="I15" i="1" s="1"/>
  <c r="G16" i="1"/>
  <c r="G17" i="1"/>
  <c r="G18" i="1"/>
  <c r="G19" i="1"/>
  <c r="G20" i="1"/>
  <c r="G21" i="1"/>
  <c r="G22" i="1"/>
  <c r="I22" i="1" s="1"/>
  <c r="I24" i="1" l="1"/>
  <c r="I19" i="1"/>
  <c r="I11" i="1"/>
  <c r="G25" i="1"/>
  <c r="I7" i="1"/>
  <c r="I17" i="1"/>
  <c r="I9" i="1"/>
  <c r="G26" i="1"/>
  <c r="I16" i="1"/>
  <c r="I8" i="1"/>
  <c r="I21" i="1"/>
  <c r="I5" i="1"/>
  <c r="I20" i="1"/>
  <c r="I12" i="1"/>
  <c r="I4" i="1"/>
  <c r="I23" i="1" s="1"/>
  <c r="I13" i="1"/>
  <c r="I18" i="1"/>
  <c r="I10" i="1"/>
  <c r="I26" i="1" l="1"/>
  <c r="I25" i="1"/>
</calcChain>
</file>

<file path=xl/sharedStrings.xml><?xml version="1.0" encoding="utf-8"?>
<sst xmlns="http://schemas.openxmlformats.org/spreadsheetml/2006/main" count="433" uniqueCount="144">
  <si>
    <t>Topics: SUM, AVERAGE, MAX, MIN, IF, COUNTIF, SUMIF, Sorting, Filtering, Basic Charts</t>
  </si>
  <si>
    <t>Emp ID</t>
  </si>
  <si>
    <t>Name</t>
  </si>
  <si>
    <t>Department</t>
  </si>
  <si>
    <t>Month</t>
  </si>
  <si>
    <t>Units Sold</t>
  </si>
  <si>
    <t>Price Per Unit</t>
  </si>
  <si>
    <t>E001</t>
  </si>
  <si>
    <t>Aarav Sharma</t>
  </si>
  <si>
    <t>Sales</t>
  </si>
  <si>
    <t>January</t>
  </si>
  <si>
    <t>E002</t>
  </si>
  <si>
    <t>Priya Thapa</t>
  </si>
  <si>
    <t>Marketing</t>
  </si>
  <si>
    <t>E003</t>
  </si>
  <si>
    <t>Bikash Rai</t>
  </si>
  <si>
    <t>E004</t>
  </si>
  <si>
    <t>Sita Gurung</t>
  </si>
  <si>
    <t>IT</t>
  </si>
  <si>
    <t>E005</t>
  </si>
  <si>
    <t>Raju Magar</t>
  </si>
  <si>
    <t>E006</t>
  </si>
  <si>
    <t>February</t>
  </si>
  <si>
    <t>E007</t>
  </si>
  <si>
    <t>E008</t>
  </si>
  <si>
    <t>E009</t>
  </si>
  <si>
    <t>E010</t>
  </si>
  <si>
    <t>E011</t>
  </si>
  <si>
    <t>March</t>
  </si>
  <si>
    <t>E012</t>
  </si>
  <si>
    <t>E013</t>
  </si>
  <si>
    <t>E014</t>
  </si>
  <si>
    <t>E015</t>
  </si>
  <si>
    <t>E016</t>
  </si>
  <si>
    <t>April</t>
  </si>
  <si>
    <t>E017</t>
  </si>
  <si>
    <t>E018</t>
  </si>
  <si>
    <t>E019</t>
  </si>
  <si>
    <t>E020</t>
  </si>
  <si>
    <t>Total Revenue</t>
  </si>
  <si>
    <t>Commission %</t>
  </si>
  <si>
    <t>Commission Amount</t>
  </si>
  <si>
    <t>Sum</t>
  </si>
  <si>
    <t>Average</t>
  </si>
  <si>
    <t>Max</t>
  </si>
  <si>
    <t>Min</t>
  </si>
  <si>
    <t>Sales dep revenue</t>
  </si>
  <si>
    <t>Count &gt; 50 Units</t>
  </si>
  <si>
    <t>Topics: VLOOKUP, HLOOKUP, INDEX-MATCH, Conditional Formatting, Pivot Table, Pie Chart</t>
  </si>
  <si>
    <t>Order ID</t>
  </si>
  <si>
    <t>Date</t>
  </si>
  <si>
    <t>Customer Name</t>
  </si>
  <si>
    <t>Product ID</t>
  </si>
  <si>
    <t>Category</t>
  </si>
  <si>
    <t>Quantity</t>
  </si>
  <si>
    <t>Unit Price</t>
  </si>
  <si>
    <t>Discount %</t>
  </si>
  <si>
    <t>Status</t>
  </si>
  <si>
    <t>ORD001</t>
  </si>
  <si>
    <t>2024-01-05</t>
  </si>
  <si>
    <t>Ram Bahadur</t>
  </si>
  <si>
    <t>P001</t>
  </si>
  <si>
    <t>Electronics</t>
  </si>
  <si>
    <t>Delivered</t>
  </si>
  <si>
    <t>ORD002</t>
  </si>
  <si>
    <t>2024-01-08</t>
  </si>
  <si>
    <t>Sita Devi</t>
  </si>
  <si>
    <t>P002</t>
  </si>
  <si>
    <t>Clothing</t>
  </si>
  <si>
    <t>ORD003</t>
  </si>
  <si>
    <t>2024-01-12</t>
  </si>
  <si>
    <t>Hari Prasad</t>
  </si>
  <si>
    <t>P003</t>
  </si>
  <si>
    <t>Food</t>
  </si>
  <si>
    <t>3</t>
  </si>
  <si>
    <t>Pending</t>
  </si>
  <si>
    <t>ORD004</t>
  </si>
  <si>
    <t>2024-01-15</t>
  </si>
  <si>
    <t>Gita Kumari</t>
  </si>
  <si>
    <t>P004</t>
  </si>
  <si>
    <t>ORD005</t>
  </si>
  <si>
    <t>2024-01-20</t>
  </si>
  <si>
    <t>Bishnu Lal</t>
  </si>
  <si>
    <t>P005</t>
  </si>
  <si>
    <t>Cancelled</t>
  </si>
  <si>
    <t>ORD006</t>
  </si>
  <si>
    <t>2024-02-03</t>
  </si>
  <si>
    <t>P006</t>
  </si>
  <si>
    <t>ORD007</t>
  </si>
  <si>
    <t>2024-02-10</t>
  </si>
  <si>
    <t>Mohan Thapa</t>
  </si>
  <si>
    <t>ORD008</t>
  </si>
  <si>
    <t>2024-02-14</t>
  </si>
  <si>
    <t>P007</t>
  </si>
  <si>
    <t>Furniture</t>
  </si>
  <si>
    <t>ORD009</t>
  </si>
  <si>
    <t>2024-02-18</t>
  </si>
  <si>
    <t>ORD010</t>
  </si>
  <si>
    <t>2024-02-22</t>
  </si>
  <si>
    <t>ORD011</t>
  </si>
  <si>
    <t>2024-03-05</t>
  </si>
  <si>
    <t>P008</t>
  </si>
  <si>
    <t>ORD012</t>
  </si>
  <si>
    <t>2024-03-10</t>
  </si>
  <si>
    <t>ORD013</t>
  </si>
  <si>
    <t>2024-03-15</t>
  </si>
  <si>
    <t>ORD014</t>
  </si>
  <si>
    <t>2024-03-20</t>
  </si>
  <si>
    <t>P009</t>
  </si>
  <si>
    <t>ORD015</t>
  </si>
  <si>
    <t>2024-03-25</t>
  </si>
  <si>
    <t>ORD016</t>
  </si>
  <si>
    <t>2024-04-02</t>
  </si>
  <si>
    <t>P010</t>
  </si>
  <si>
    <t>ORD017</t>
  </si>
  <si>
    <t>2024-04-08</t>
  </si>
  <si>
    <t>ORD018</t>
  </si>
  <si>
    <t>2024-04-12</t>
  </si>
  <si>
    <t>ORD019</t>
  </si>
  <si>
    <t>2024-04-18</t>
  </si>
  <si>
    <t>ORD020</t>
  </si>
  <si>
    <t>2024-04-25</t>
  </si>
  <si>
    <t>Product Lookup Table (use for VLOOKUP practice)</t>
  </si>
  <si>
    <t>Product Name</t>
  </si>
  <si>
    <t>Stock Qty</t>
  </si>
  <si>
    <t>Samsung TV 43"</t>
  </si>
  <si>
    <t>Levi's Jeans</t>
  </si>
  <si>
    <t>Basmati Rice 5kg</t>
  </si>
  <si>
    <t>iPhone 15</t>
  </si>
  <si>
    <t>Cotton Shirt</t>
  </si>
  <si>
    <t>Cooking Oil 1L</t>
  </si>
  <si>
    <t>Wooden Sofa Set</t>
  </si>
  <si>
    <t>JBL Speaker</t>
  </si>
  <si>
    <t>Bread Loaf</t>
  </si>
  <si>
    <t>Kurti Set</t>
  </si>
  <si>
    <t>tv</t>
  </si>
  <si>
    <t>mobile</t>
  </si>
  <si>
    <t>washing machine</t>
  </si>
  <si>
    <t>Xlookuop</t>
  </si>
  <si>
    <t>ORD021</t>
  </si>
  <si>
    <t>2024-04-26</t>
  </si>
  <si>
    <t>Hari Devi</t>
  </si>
  <si>
    <t>P555</t>
  </si>
  <si>
    <t>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</si>
</sst>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1D4ED8"/>
      <name val="Arial"/>
    </font>
    <font>
      <b/>
      <sz val="11"/>
      <color rgb="FFFFFFFF"/>
      <name val="Arial"/>
    </font>
    <font>
      <sz val="10"/>
      <color rgb="FF1E293B"/>
      <name val="Arial"/>
    </font>
    <font>
      <b/>
      <sz val="13"/>
      <color rgb="FFFFFFFF"/>
      <name val="Arial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1D4ED8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0F766E"/>
      </patternFill>
    </fill>
  </fills>
  <borders count="5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n">
        <color rgb="FFE2E8F0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3" fontId="3" fillId="4" borderId="1" xfId="0" applyNumberFormat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3" fontId="3" fillId="5" borderId="1" xfId="0" applyNumberFormat="1" applyFont="1" applyFill="1" applyBorder="1" applyAlignment="1">
      <alignment horizontal="left" vertical="center" wrapText="1"/>
    </xf>
    <xf numFmtId="0" fontId="1" fillId="2" borderId="2" xfId="0" applyFont="1" applyFill="1" applyBorder="1"/>
    <xf numFmtId="0" fontId="2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left" vertical="center" wrapText="1"/>
    </xf>
    <xf numFmtId="1" fontId="3" fillId="5" borderId="1" xfId="0" applyNumberFormat="1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center" vertical="center" wrapText="1"/>
    </xf>
    <xf numFmtId="0" fontId="0" fillId="0" borderId="0" xfId="0"/>
    <xf numFmtId="0" fontId="2" fillId="6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3" fontId="0" fillId="0" borderId="0" xfId="0" applyNumberFormat="1"/>
    <xf numFmtId="1" fontId="3" fillId="4" borderId="3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83CB13-73A7-4731-8446-7B50507DB61B}" name="Table2" displayName="Table2" ref="O2:X23" totalsRowShown="0">
  <autoFilter ref="O2:X23" xr:uid="{3A83CB13-73A7-4731-8446-7B50507DB61B}"/>
  <sortState xmlns:xlrd2="http://schemas.microsoft.com/office/spreadsheetml/2017/richdata2" ref="O3:X23">
    <sortCondition ref="U3:U23"/>
  </sortState>
  <tableColumns count="10">
    <tableColumn id="1" xr3:uid="{C9286C07-A155-4017-A2EB-F9952355ACC7}" name="Order ID"/>
    <tableColumn id="2" xr3:uid="{E7D52B74-0F1B-4253-AC05-A8C7E39D99B3}" name="Date"/>
    <tableColumn id="3" xr3:uid="{C21A8894-6623-4B92-809A-11C31883ACC5}" name="Customer Name"/>
    <tableColumn id="4" xr3:uid="{21F004F8-77A8-40FC-9987-935CB219D8A6}" name="Product ID"/>
    <tableColumn id="5" xr3:uid="{4BE7C571-1D0E-4682-9B9F-5EF784FD21E9}" name="Category"/>
    <tableColumn id="6" xr3:uid="{9F80877F-B24F-4B26-9FAA-3402F4EC80BD}" name="Quantity"/>
    <tableColumn id="7" xr3:uid="{3C3CC65F-CB90-4207-A121-ABD300D44943}" name="Unit Price"/>
    <tableColumn id="8" xr3:uid="{78B5DD90-7360-4522-9B98-1FCA1F6B6014}" name="Discount %"/>
    <tableColumn id="9" xr3:uid="{ED5DF573-FE3A-4254-952E-E2C6D2272DD5}" name="Status"/>
    <tableColumn id="10" xr3:uid="{F04C3676-A955-437E-B40A-74042A29A954}" name="Xlookuop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showGridLines="0" zoomScale="120" zoomScaleNormal="120" workbookViewId="0">
      <pane ySplit="2" topLeftCell="A3" activePane="bottomLeft" state="frozen"/>
      <selection pane="bottomLeft" activeCell="H3" sqref="H3"/>
    </sheetView>
  </sheetViews>
  <sheetFormatPr defaultRowHeight="14.4" x14ac:dyDescent="0.3"/>
  <cols>
    <col min="1" max="1" width="9" customWidth="1"/>
    <col min="2" max="2" width="18" customWidth="1"/>
    <col min="3" max="3" width="14" customWidth="1"/>
    <col min="4" max="4" width="12" customWidth="1"/>
    <col min="5" max="5" width="13" customWidth="1"/>
    <col min="6" max="6" width="16" customWidth="1"/>
    <col min="7" max="7" width="10.21875" bestFit="1" customWidth="1"/>
    <col min="8" max="8" width="14.33203125" customWidth="1"/>
    <col min="9" max="9" width="18.88671875" customWidth="1"/>
  </cols>
  <sheetData>
    <row r="1" spans="1:9" ht="19.95" customHeight="1" x14ac:dyDescent="0.3">
      <c r="A1" s="6" t="s">
        <v>0</v>
      </c>
      <c r="B1" s="6"/>
      <c r="C1" s="6"/>
      <c r="D1" s="6"/>
      <c r="E1" s="6"/>
      <c r="F1" s="6"/>
    </row>
    <row r="2" spans="1:9" ht="30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7" t="s">
        <v>39</v>
      </c>
      <c r="H2" s="7" t="s">
        <v>40</v>
      </c>
      <c r="I2" s="7" t="s">
        <v>41</v>
      </c>
    </row>
    <row r="3" spans="1:9" ht="19.95" customHeight="1" x14ac:dyDescent="0.3">
      <c r="A3" s="2" t="s">
        <v>7</v>
      </c>
      <c r="B3" s="2" t="s">
        <v>8</v>
      </c>
      <c r="C3" s="2" t="s">
        <v>9</v>
      </c>
      <c r="D3" s="2" t="s">
        <v>10</v>
      </c>
      <c r="E3" s="2">
        <v>45</v>
      </c>
      <c r="F3" s="3">
        <v>1200</v>
      </c>
      <c r="G3">
        <f>E3*F3</f>
        <v>54000</v>
      </c>
      <c r="H3">
        <f>IF(E3&gt;50,15%,IF(E3&gt;20,10%,5%))</f>
        <v>0.1</v>
      </c>
      <c r="I3">
        <f>G3*H3</f>
        <v>5400</v>
      </c>
    </row>
    <row r="4" spans="1:9" ht="19.95" customHeight="1" x14ac:dyDescent="0.3">
      <c r="A4" s="4" t="s">
        <v>11</v>
      </c>
      <c r="B4" s="4" t="s">
        <v>12</v>
      </c>
      <c r="C4" s="4" t="s">
        <v>13</v>
      </c>
      <c r="D4" s="4" t="s">
        <v>10</v>
      </c>
      <c r="E4" s="4">
        <v>30</v>
      </c>
      <c r="F4" s="5">
        <v>1500</v>
      </c>
      <c r="G4">
        <f t="shared" ref="G4:G22" si="0">E4*F4</f>
        <v>45000</v>
      </c>
      <c r="H4">
        <f t="shared" ref="H4:H26" si="1">IF(E4&gt;50,15%,IF(E4&gt;20,10%,5%))</f>
        <v>0.1</v>
      </c>
      <c r="I4">
        <f t="shared" ref="I4:I22" si="2">G4*H4</f>
        <v>4500</v>
      </c>
    </row>
    <row r="5" spans="1:9" ht="19.95" customHeight="1" x14ac:dyDescent="0.3">
      <c r="A5" s="2" t="s">
        <v>14</v>
      </c>
      <c r="B5" s="2" t="s">
        <v>15</v>
      </c>
      <c r="C5" s="2" t="s">
        <v>9</v>
      </c>
      <c r="D5" s="2" t="s">
        <v>10</v>
      </c>
      <c r="E5" s="2">
        <v>62</v>
      </c>
      <c r="F5" s="3">
        <v>1200</v>
      </c>
      <c r="G5">
        <f t="shared" si="0"/>
        <v>74400</v>
      </c>
      <c r="H5">
        <f t="shared" si="1"/>
        <v>0.15</v>
      </c>
      <c r="I5">
        <f t="shared" si="2"/>
        <v>11160</v>
      </c>
    </row>
    <row r="6" spans="1:9" ht="19.95" customHeight="1" x14ac:dyDescent="0.3">
      <c r="A6" s="4" t="s">
        <v>16</v>
      </c>
      <c r="B6" s="4" t="s">
        <v>17</v>
      </c>
      <c r="C6" s="4" t="s">
        <v>18</v>
      </c>
      <c r="D6" s="4" t="s">
        <v>10</v>
      </c>
      <c r="E6" s="4">
        <v>15</v>
      </c>
      <c r="F6" s="5">
        <v>2000</v>
      </c>
      <c r="G6">
        <f t="shared" si="0"/>
        <v>30000</v>
      </c>
      <c r="H6">
        <f t="shared" si="1"/>
        <v>0.05</v>
      </c>
      <c r="I6">
        <f t="shared" si="2"/>
        <v>1500</v>
      </c>
    </row>
    <row r="7" spans="1:9" ht="19.95" customHeight="1" x14ac:dyDescent="0.3">
      <c r="A7" s="2" t="s">
        <v>19</v>
      </c>
      <c r="B7" s="2" t="s">
        <v>20</v>
      </c>
      <c r="C7" s="2" t="s">
        <v>13</v>
      </c>
      <c r="D7" s="2" t="s">
        <v>10</v>
      </c>
      <c r="E7" s="2">
        <v>28</v>
      </c>
      <c r="F7" s="3">
        <v>1500</v>
      </c>
      <c r="G7">
        <f t="shared" si="0"/>
        <v>42000</v>
      </c>
      <c r="H7">
        <f t="shared" si="1"/>
        <v>0.1</v>
      </c>
      <c r="I7">
        <f t="shared" si="2"/>
        <v>4200</v>
      </c>
    </row>
    <row r="8" spans="1:9" ht="19.95" customHeight="1" x14ac:dyDescent="0.3">
      <c r="A8" s="4" t="s">
        <v>21</v>
      </c>
      <c r="B8" s="4" t="s">
        <v>8</v>
      </c>
      <c r="C8" s="4" t="s">
        <v>9</v>
      </c>
      <c r="D8" s="4" t="s">
        <v>22</v>
      </c>
      <c r="E8" s="4">
        <v>52</v>
      </c>
      <c r="F8" s="5">
        <v>1200</v>
      </c>
      <c r="G8">
        <f t="shared" si="0"/>
        <v>62400</v>
      </c>
      <c r="H8">
        <f t="shared" si="1"/>
        <v>0.15</v>
      </c>
      <c r="I8">
        <f t="shared" si="2"/>
        <v>9360</v>
      </c>
    </row>
    <row r="9" spans="1:9" ht="19.95" customHeight="1" x14ac:dyDescent="0.3">
      <c r="A9" s="2" t="s">
        <v>23</v>
      </c>
      <c r="B9" s="2" t="s">
        <v>12</v>
      </c>
      <c r="C9" s="2" t="s">
        <v>13</v>
      </c>
      <c r="D9" s="2" t="s">
        <v>22</v>
      </c>
      <c r="E9" s="2">
        <v>35</v>
      </c>
      <c r="F9" s="3">
        <v>1500</v>
      </c>
      <c r="G9">
        <f t="shared" si="0"/>
        <v>52500</v>
      </c>
      <c r="H9">
        <f t="shared" si="1"/>
        <v>0.1</v>
      </c>
      <c r="I9">
        <f t="shared" si="2"/>
        <v>5250</v>
      </c>
    </row>
    <row r="10" spans="1:9" ht="19.95" customHeight="1" x14ac:dyDescent="0.3">
      <c r="A10" s="4" t="s">
        <v>24</v>
      </c>
      <c r="B10" s="4" t="s">
        <v>15</v>
      </c>
      <c r="C10" s="4" t="s">
        <v>9</v>
      </c>
      <c r="D10" s="4" t="s">
        <v>22</v>
      </c>
      <c r="E10" s="4">
        <v>70</v>
      </c>
      <c r="F10" s="5">
        <v>1200</v>
      </c>
      <c r="G10">
        <f t="shared" si="0"/>
        <v>84000</v>
      </c>
      <c r="H10">
        <f t="shared" si="1"/>
        <v>0.15</v>
      </c>
      <c r="I10">
        <f t="shared" si="2"/>
        <v>12600</v>
      </c>
    </row>
    <row r="11" spans="1:9" ht="19.95" customHeight="1" x14ac:dyDescent="0.3">
      <c r="A11" s="2" t="s">
        <v>25</v>
      </c>
      <c r="B11" s="2" t="s">
        <v>17</v>
      </c>
      <c r="C11" s="2" t="s">
        <v>18</v>
      </c>
      <c r="D11" s="2" t="s">
        <v>22</v>
      </c>
      <c r="E11" s="2">
        <v>18</v>
      </c>
      <c r="F11" s="3">
        <v>2000</v>
      </c>
      <c r="G11">
        <f t="shared" si="0"/>
        <v>36000</v>
      </c>
      <c r="H11">
        <f t="shared" si="1"/>
        <v>0.05</v>
      </c>
      <c r="I11">
        <f t="shared" si="2"/>
        <v>1800</v>
      </c>
    </row>
    <row r="12" spans="1:9" ht="19.95" customHeight="1" x14ac:dyDescent="0.3">
      <c r="A12" s="4" t="s">
        <v>26</v>
      </c>
      <c r="B12" s="4" t="s">
        <v>20</v>
      </c>
      <c r="C12" s="4" t="s">
        <v>13</v>
      </c>
      <c r="D12" s="4" t="s">
        <v>22</v>
      </c>
      <c r="E12" s="4">
        <v>22</v>
      </c>
      <c r="F12" s="5">
        <v>1500</v>
      </c>
      <c r="G12">
        <f t="shared" si="0"/>
        <v>33000</v>
      </c>
      <c r="H12">
        <f t="shared" si="1"/>
        <v>0.1</v>
      </c>
      <c r="I12">
        <f t="shared" si="2"/>
        <v>3300</v>
      </c>
    </row>
    <row r="13" spans="1:9" ht="19.95" customHeight="1" x14ac:dyDescent="0.3">
      <c r="A13" s="2" t="s">
        <v>27</v>
      </c>
      <c r="B13" s="2" t="s">
        <v>8</v>
      </c>
      <c r="C13" s="2" t="s">
        <v>9</v>
      </c>
      <c r="D13" s="2" t="s">
        <v>28</v>
      </c>
      <c r="E13" s="2">
        <v>48</v>
      </c>
      <c r="F13" s="3">
        <v>1200</v>
      </c>
      <c r="G13">
        <f t="shared" si="0"/>
        <v>57600</v>
      </c>
      <c r="H13">
        <f t="shared" si="1"/>
        <v>0.1</v>
      </c>
      <c r="I13">
        <f t="shared" si="2"/>
        <v>5760</v>
      </c>
    </row>
    <row r="14" spans="1:9" ht="19.95" customHeight="1" x14ac:dyDescent="0.3">
      <c r="A14" s="4" t="s">
        <v>29</v>
      </c>
      <c r="B14" s="4" t="s">
        <v>12</v>
      </c>
      <c r="C14" s="4" t="s">
        <v>13</v>
      </c>
      <c r="D14" s="4" t="s">
        <v>28</v>
      </c>
      <c r="E14" s="4">
        <v>40</v>
      </c>
      <c r="F14" s="5">
        <v>1500</v>
      </c>
      <c r="G14">
        <f t="shared" si="0"/>
        <v>60000</v>
      </c>
      <c r="H14">
        <f t="shared" si="1"/>
        <v>0.1</v>
      </c>
      <c r="I14">
        <f t="shared" si="2"/>
        <v>6000</v>
      </c>
    </row>
    <row r="15" spans="1:9" ht="19.95" customHeight="1" x14ac:dyDescent="0.3">
      <c r="A15" s="2" t="s">
        <v>30</v>
      </c>
      <c r="B15" s="2" t="s">
        <v>15</v>
      </c>
      <c r="C15" s="2" t="s">
        <v>9</v>
      </c>
      <c r="D15" s="2" t="s">
        <v>28</v>
      </c>
      <c r="E15" s="2">
        <v>75</v>
      </c>
      <c r="F15" s="3">
        <v>1200</v>
      </c>
      <c r="G15">
        <f t="shared" si="0"/>
        <v>90000</v>
      </c>
      <c r="H15">
        <f t="shared" si="1"/>
        <v>0.15</v>
      </c>
      <c r="I15">
        <f t="shared" si="2"/>
        <v>13500</v>
      </c>
    </row>
    <row r="16" spans="1:9" ht="19.95" customHeight="1" x14ac:dyDescent="0.3">
      <c r="A16" s="4" t="s">
        <v>31</v>
      </c>
      <c r="B16" s="4" t="s">
        <v>17</v>
      </c>
      <c r="C16" s="4" t="s">
        <v>18</v>
      </c>
      <c r="D16" s="4" t="s">
        <v>28</v>
      </c>
      <c r="E16" s="4">
        <v>25</v>
      </c>
      <c r="F16" s="5">
        <v>2000</v>
      </c>
      <c r="G16">
        <f t="shared" si="0"/>
        <v>50000</v>
      </c>
      <c r="H16">
        <f t="shared" si="1"/>
        <v>0.1</v>
      </c>
      <c r="I16">
        <f t="shared" si="2"/>
        <v>5000</v>
      </c>
    </row>
    <row r="17" spans="1:9" ht="19.95" customHeight="1" x14ac:dyDescent="0.3">
      <c r="A17" s="2" t="s">
        <v>32</v>
      </c>
      <c r="B17" s="2" t="s">
        <v>20</v>
      </c>
      <c r="C17" s="2" t="s">
        <v>13</v>
      </c>
      <c r="D17" s="2" t="s">
        <v>28</v>
      </c>
      <c r="E17" s="2">
        <v>32</v>
      </c>
      <c r="F17" s="3">
        <v>1500</v>
      </c>
      <c r="G17">
        <f t="shared" si="0"/>
        <v>48000</v>
      </c>
      <c r="H17">
        <f t="shared" si="1"/>
        <v>0.1</v>
      </c>
      <c r="I17">
        <f t="shared" si="2"/>
        <v>4800</v>
      </c>
    </row>
    <row r="18" spans="1:9" ht="19.95" customHeight="1" x14ac:dyDescent="0.3">
      <c r="A18" s="4" t="s">
        <v>33</v>
      </c>
      <c r="B18" s="4" t="s">
        <v>8</v>
      </c>
      <c r="C18" s="4" t="s">
        <v>9</v>
      </c>
      <c r="D18" s="4" t="s">
        <v>34</v>
      </c>
      <c r="E18" s="4">
        <v>55</v>
      </c>
      <c r="F18" s="5">
        <v>1200</v>
      </c>
      <c r="G18">
        <f t="shared" si="0"/>
        <v>66000</v>
      </c>
      <c r="H18">
        <f t="shared" si="1"/>
        <v>0.15</v>
      </c>
      <c r="I18">
        <f t="shared" si="2"/>
        <v>9900</v>
      </c>
    </row>
    <row r="19" spans="1:9" ht="19.95" customHeight="1" x14ac:dyDescent="0.3">
      <c r="A19" s="2" t="s">
        <v>35</v>
      </c>
      <c r="B19" s="2" t="s">
        <v>12</v>
      </c>
      <c r="C19" s="2" t="s">
        <v>13</v>
      </c>
      <c r="D19" s="2" t="s">
        <v>34</v>
      </c>
      <c r="E19" s="2">
        <v>38</v>
      </c>
      <c r="F19" s="3">
        <v>1500</v>
      </c>
      <c r="G19">
        <f t="shared" si="0"/>
        <v>57000</v>
      </c>
      <c r="H19">
        <f t="shared" si="1"/>
        <v>0.1</v>
      </c>
      <c r="I19">
        <f t="shared" si="2"/>
        <v>5700</v>
      </c>
    </row>
    <row r="20" spans="1:9" ht="19.95" customHeight="1" x14ac:dyDescent="0.3">
      <c r="A20" s="4" t="s">
        <v>36</v>
      </c>
      <c r="B20" s="4" t="s">
        <v>15</v>
      </c>
      <c r="C20" s="4" t="s">
        <v>9</v>
      </c>
      <c r="D20" s="4" t="s">
        <v>34</v>
      </c>
      <c r="E20" s="4">
        <v>80</v>
      </c>
      <c r="F20" s="5">
        <v>1200</v>
      </c>
      <c r="G20">
        <f t="shared" si="0"/>
        <v>96000</v>
      </c>
      <c r="H20">
        <f t="shared" si="1"/>
        <v>0.15</v>
      </c>
      <c r="I20">
        <f t="shared" si="2"/>
        <v>14400</v>
      </c>
    </row>
    <row r="21" spans="1:9" ht="19.95" customHeight="1" x14ac:dyDescent="0.3">
      <c r="A21" s="2" t="s">
        <v>37</v>
      </c>
      <c r="B21" s="2" t="s">
        <v>17</v>
      </c>
      <c r="C21" s="2" t="s">
        <v>18</v>
      </c>
      <c r="D21" s="2" t="s">
        <v>34</v>
      </c>
      <c r="E21" s="2">
        <v>20</v>
      </c>
      <c r="F21" s="3">
        <v>2000</v>
      </c>
      <c r="G21">
        <f t="shared" si="0"/>
        <v>40000</v>
      </c>
      <c r="H21">
        <f t="shared" si="1"/>
        <v>0.05</v>
      </c>
      <c r="I21">
        <f t="shared" si="2"/>
        <v>2000</v>
      </c>
    </row>
    <row r="22" spans="1:9" ht="19.95" customHeight="1" x14ac:dyDescent="0.3">
      <c r="A22" s="4" t="s">
        <v>38</v>
      </c>
      <c r="B22" s="4" t="s">
        <v>20</v>
      </c>
      <c r="C22" s="4" t="s">
        <v>13</v>
      </c>
      <c r="D22" s="4" t="s">
        <v>34</v>
      </c>
      <c r="E22" s="4">
        <v>27</v>
      </c>
      <c r="F22" s="5">
        <v>1500</v>
      </c>
      <c r="G22">
        <f t="shared" si="0"/>
        <v>40500</v>
      </c>
      <c r="H22">
        <f t="shared" si="1"/>
        <v>0.1</v>
      </c>
      <c r="I22">
        <f t="shared" si="2"/>
        <v>4050</v>
      </c>
    </row>
    <row r="23" spans="1:9" x14ac:dyDescent="0.3">
      <c r="C23" s="8" t="s">
        <v>42</v>
      </c>
      <c r="E23">
        <f>SUM(E3:E22)</f>
        <v>817</v>
      </c>
      <c r="F23">
        <f t="shared" ref="F23:I23" si="3">SUM(F3:F22)</f>
        <v>29600</v>
      </c>
      <c r="G23">
        <f t="shared" si="3"/>
        <v>1118400</v>
      </c>
      <c r="H23">
        <f t="shared" si="1"/>
        <v>0.15</v>
      </c>
      <c r="I23">
        <f t="shared" si="3"/>
        <v>130180</v>
      </c>
    </row>
    <row r="24" spans="1:9" x14ac:dyDescent="0.3">
      <c r="C24" s="9" t="s">
        <v>43</v>
      </c>
      <c r="E24">
        <f>AVERAGE(E3:E22)</f>
        <v>40.85</v>
      </c>
      <c r="F24">
        <f t="shared" ref="F24:I24" si="4">AVERAGE(F3:F22)</f>
        <v>1480</v>
      </c>
      <c r="G24">
        <f t="shared" si="4"/>
        <v>55920</v>
      </c>
      <c r="H24">
        <f t="shared" si="1"/>
        <v>0.1</v>
      </c>
      <c r="I24">
        <f t="shared" si="4"/>
        <v>6509</v>
      </c>
    </row>
    <row r="25" spans="1:9" x14ac:dyDescent="0.3">
      <c r="C25" s="8" t="s">
        <v>44</v>
      </c>
      <c r="E25">
        <f>MAX(E3:E22)</f>
        <v>80</v>
      </c>
      <c r="F25">
        <f t="shared" ref="F25:I25" si="5">MAX(F3:F22)</f>
        <v>2000</v>
      </c>
      <c r="G25">
        <f t="shared" si="5"/>
        <v>96000</v>
      </c>
      <c r="H25">
        <f t="shared" si="1"/>
        <v>0.15</v>
      </c>
      <c r="I25">
        <f t="shared" si="5"/>
        <v>14400</v>
      </c>
    </row>
    <row r="26" spans="1:9" x14ac:dyDescent="0.3">
      <c r="C26" s="9" t="s">
        <v>45</v>
      </c>
      <c r="E26">
        <f>MIN(E3:E22)</f>
        <v>15</v>
      </c>
      <c r="F26">
        <f t="shared" ref="F26:I26" si="6">MIN(F3:F22)</f>
        <v>1200</v>
      </c>
      <c r="G26">
        <f t="shared" si="6"/>
        <v>30000</v>
      </c>
      <c r="H26">
        <f t="shared" si="1"/>
        <v>0.05</v>
      </c>
      <c r="I26">
        <f t="shared" si="6"/>
        <v>1500</v>
      </c>
    </row>
    <row r="27" spans="1:9" ht="26.4" x14ac:dyDescent="0.3">
      <c r="C27" s="8" t="s">
        <v>46</v>
      </c>
      <c r="G27">
        <f>SUMIF(C3:C22,"Sales",G3:G22)</f>
        <v>584400</v>
      </c>
    </row>
    <row r="28" spans="1:9" ht="26.4" x14ac:dyDescent="0.3">
      <c r="C28" s="9" t="s">
        <v>47</v>
      </c>
      <c r="F28">
        <f>COUNTIF(E3:E22,"&gt;50")</f>
        <v>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0B86F-365F-44B0-8516-79BC06BF2FB2}">
  <dimension ref="A1:X36"/>
  <sheetViews>
    <sheetView tabSelected="1" workbookViewId="0">
      <selection activeCell="L13" sqref="L13"/>
    </sheetView>
  </sheetViews>
  <sheetFormatPr defaultRowHeight="14.4" x14ac:dyDescent="0.3"/>
  <cols>
    <col min="1" max="1" width="9.44140625" bestFit="1" customWidth="1"/>
    <col min="2" max="2" width="15.44140625" bestFit="1" customWidth="1"/>
    <col min="3" max="3" width="16.88671875" bestFit="1" customWidth="1"/>
    <col min="4" max="4" width="11.33203125" bestFit="1" customWidth="1"/>
    <col min="5" max="5" width="10" bestFit="1" customWidth="1"/>
    <col min="6" max="6" width="9.21875" bestFit="1" customWidth="1"/>
    <col min="7" max="7" width="10.6640625" bestFit="1" customWidth="1"/>
    <col min="8" max="8" width="15" bestFit="1" customWidth="1"/>
    <col min="9" max="9" width="9" bestFit="1" customWidth="1"/>
    <col min="10" max="11" width="15.77734375" bestFit="1" customWidth="1"/>
    <col min="15" max="15" width="10.109375" customWidth="1"/>
    <col min="16" max="16" width="10.33203125" bestFit="1" customWidth="1"/>
    <col min="17" max="17" width="16.77734375" customWidth="1"/>
    <col min="18" max="18" width="11.77734375" customWidth="1"/>
    <col min="19" max="19" width="10.5546875" customWidth="1"/>
    <col min="20" max="20" width="10.44140625" customWidth="1"/>
    <col min="21" max="21" width="11.44140625" customWidth="1"/>
    <col min="22" max="22" width="12.33203125" customWidth="1"/>
    <col min="23" max="23" width="9.44140625" bestFit="1" customWidth="1"/>
    <col min="24" max="24" width="15.77734375" bestFit="1" customWidth="1"/>
  </cols>
  <sheetData>
    <row r="1" spans="1:24" x14ac:dyDescent="0.3">
      <c r="A1" s="6" t="s">
        <v>48</v>
      </c>
      <c r="B1" s="6"/>
      <c r="C1" s="6"/>
      <c r="D1" s="6"/>
      <c r="E1" s="6"/>
      <c r="F1" s="6"/>
      <c r="G1" s="6"/>
      <c r="H1" s="6"/>
      <c r="I1" s="6"/>
    </row>
    <row r="2" spans="1:24" x14ac:dyDescent="0.3">
      <c r="A2" s="10" t="s">
        <v>49</v>
      </c>
      <c r="B2" s="10" t="s">
        <v>50</v>
      </c>
      <c r="C2" s="10" t="s">
        <v>51</v>
      </c>
      <c r="D2" s="10" t="s">
        <v>52</v>
      </c>
      <c r="E2" s="10" t="s">
        <v>53</v>
      </c>
      <c r="F2" s="10" t="s">
        <v>54</v>
      </c>
      <c r="G2" s="10" t="s">
        <v>55</v>
      </c>
      <c r="H2" s="10" t="s">
        <v>56</v>
      </c>
      <c r="I2" s="10" t="s">
        <v>57</v>
      </c>
      <c r="J2" s="15" t="s">
        <v>138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138</v>
      </c>
    </row>
    <row r="3" spans="1:24" x14ac:dyDescent="0.3">
      <c r="A3" s="2" t="s">
        <v>58</v>
      </c>
      <c r="B3" s="2" t="s">
        <v>59</v>
      </c>
      <c r="C3" s="2" t="s">
        <v>60</v>
      </c>
      <c r="D3" s="2" t="s">
        <v>61</v>
      </c>
      <c r="E3" s="2" t="s">
        <v>62</v>
      </c>
      <c r="F3" s="2">
        <v>2</v>
      </c>
      <c r="G3" s="3">
        <v>15000</v>
      </c>
      <c r="H3" s="11">
        <v>10</v>
      </c>
      <c r="I3" s="2" t="s">
        <v>63</v>
      </c>
      <c r="J3" t="str">
        <f>_xlfn.XLOOKUP(D3,$A$27:$A$36,$B$27:$B$36,"Not Found")</f>
        <v>Samsung TV 43"</v>
      </c>
      <c r="K3" t="str">
        <f>IFERROR(VLOOKUP(D3,$A$26:$D$36,2,FALSE),"Not Found")</f>
        <v>Samsung TV 43"</v>
      </c>
      <c r="O3" t="s">
        <v>106</v>
      </c>
      <c r="P3" t="s">
        <v>107</v>
      </c>
      <c r="Q3" t="s">
        <v>66</v>
      </c>
      <c r="R3" t="s">
        <v>108</v>
      </c>
      <c r="S3" t="s">
        <v>73</v>
      </c>
      <c r="T3">
        <v>12</v>
      </c>
      <c r="U3">
        <v>100</v>
      </c>
      <c r="V3">
        <v>0</v>
      </c>
      <c r="W3" t="s">
        <v>63</v>
      </c>
      <c r="X3" t="s">
        <v>133</v>
      </c>
    </row>
    <row r="4" spans="1:24" x14ac:dyDescent="0.3">
      <c r="A4" s="4" t="s">
        <v>64</v>
      </c>
      <c r="B4" s="4" t="s">
        <v>65</v>
      </c>
      <c r="C4" s="4" t="s">
        <v>66</v>
      </c>
      <c r="D4" s="4" t="s">
        <v>67</v>
      </c>
      <c r="E4" s="4" t="s">
        <v>68</v>
      </c>
      <c r="F4" s="4">
        <v>5</v>
      </c>
      <c r="G4" s="5">
        <v>800</v>
      </c>
      <c r="H4" s="12">
        <v>5</v>
      </c>
      <c r="I4" s="4" t="s">
        <v>63</v>
      </c>
      <c r="J4" t="str">
        <f t="shared" ref="J4:J23" si="0">_xlfn.XLOOKUP(D4,$A$27:$A$36,$B$27:$B$36,"Not Found")</f>
        <v>Levi's Jeans</v>
      </c>
      <c r="K4" t="str">
        <f t="shared" ref="K4:K23" si="1">IFERROR(VLOOKUP(D4,$A$26:$D$36,2,FALSE),"Not Found")</f>
        <v>Levi's Jeans</v>
      </c>
      <c r="O4" t="s">
        <v>85</v>
      </c>
      <c r="P4" t="s">
        <v>86</v>
      </c>
      <c r="Q4" t="s">
        <v>60</v>
      </c>
      <c r="R4" t="s">
        <v>87</v>
      </c>
      <c r="S4" t="s">
        <v>73</v>
      </c>
      <c r="T4">
        <v>10</v>
      </c>
      <c r="U4">
        <v>150</v>
      </c>
      <c r="V4">
        <v>5</v>
      </c>
      <c r="W4" t="s">
        <v>63</v>
      </c>
      <c r="X4" t="s">
        <v>130</v>
      </c>
    </row>
    <row r="5" spans="1:24" x14ac:dyDescent="0.3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  <c r="G5" s="3">
        <v>250</v>
      </c>
      <c r="H5" s="11">
        <v>0</v>
      </c>
      <c r="I5" s="2" t="s">
        <v>75</v>
      </c>
      <c r="J5" t="str">
        <f t="shared" si="0"/>
        <v>Basmati Rice 5kg</v>
      </c>
      <c r="K5" t="str">
        <f t="shared" si="1"/>
        <v>Basmati Rice 5kg</v>
      </c>
      <c r="O5" t="s">
        <v>116</v>
      </c>
      <c r="P5" t="s">
        <v>117</v>
      </c>
      <c r="Q5" t="s">
        <v>60</v>
      </c>
      <c r="R5" t="s">
        <v>87</v>
      </c>
      <c r="S5" t="s">
        <v>73</v>
      </c>
      <c r="T5">
        <v>20</v>
      </c>
      <c r="U5">
        <v>150</v>
      </c>
      <c r="V5">
        <v>0</v>
      </c>
      <c r="W5" t="s">
        <v>63</v>
      </c>
      <c r="X5" t="s">
        <v>130</v>
      </c>
    </row>
    <row r="6" spans="1:24" x14ac:dyDescent="0.3">
      <c r="A6" s="4" t="s">
        <v>76</v>
      </c>
      <c r="B6" s="4" t="s">
        <v>77</v>
      </c>
      <c r="C6" s="4" t="s">
        <v>78</v>
      </c>
      <c r="D6" s="4" t="s">
        <v>79</v>
      </c>
      <c r="E6" s="4" t="s">
        <v>62</v>
      </c>
      <c r="F6" s="4">
        <v>1</v>
      </c>
      <c r="G6" s="5">
        <v>25000</v>
      </c>
      <c r="H6" s="12">
        <v>15</v>
      </c>
      <c r="I6" s="4" t="s">
        <v>63</v>
      </c>
      <c r="J6" t="str">
        <f t="shared" si="0"/>
        <v>iPhone 15</v>
      </c>
      <c r="K6" t="str">
        <f t="shared" si="1"/>
        <v>iPhone 15</v>
      </c>
      <c r="O6" t="s">
        <v>69</v>
      </c>
      <c r="P6" t="s">
        <v>70</v>
      </c>
      <c r="Q6" t="s">
        <v>71</v>
      </c>
      <c r="R6" t="s">
        <v>72</v>
      </c>
      <c r="S6" t="s">
        <v>73</v>
      </c>
      <c r="T6" t="s">
        <v>74</v>
      </c>
      <c r="U6">
        <v>250</v>
      </c>
      <c r="V6">
        <v>0</v>
      </c>
      <c r="W6" t="s">
        <v>75</v>
      </c>
      <c r="X6" t="s">
        <v>127</v>
      </c>
    </row>
    <row r="7" spans="1:24" x14ac:dyDescent="0.3">
      <c r="A7" s="2" t="s">
        <v>80</v>
      </c>
      <c r="B7" s="2" t="s">
        <v>81</v>
      </c>
      <c r="C7" s="2" t="s">
        <v>82</v>
      </c>
      <c r="D7" s="2" t="s">
        <v>83</v>
      </c>
      <c r="E7" s="2" t="s">
        <v>68</v>
      </c>
      <c r="F7" s="2">
        <v>8</v>
      </c>
      <c r="G7" s="3">
        <v>500</v>
      </c>
      <c r="H7" s="11">
        <v>0</v>
      </c>
      <c r="I7" s="2" t="s">
        <v>84</v>
      </c>
      <c r="J7" t="str">
        <f t="shared" si="0"/>
        <v>Cotton Shirt</v>
      </c>
      <c r="K7" t="str">
        <f t="shared" si="1"/>
        <v>Cotton Shirt</v>
      </c>
      <c r="O7" t="s">
        <v>97</v>
      </c>
      <c r="P7" t="s">
        <v>98</v>
      </c>
      <c r="Q7" t="s">
        <v>78</v>
      </c>
      <c r="R7" t="s">
        <v>72</v>
      </c>
      <c r="S7" t="s">
        <v>73</v>
      </c>
      <c r="T7">
        <v>6</v>
      </c>
      <c r="U7">
        <v>250</v>
      </c>
      <c r="V7">
        <v>5</v>
      </c>
      <c r="W7" t="s">
        <v>63</v>
      </c>
      <c r="X7" t="s">
        <v>127</v>
      </c>
    </row>
    <row r="8" spans="1:24" x14ac:dyDescent="0.3">
      <c r="A8" s="4" t="s">
        <v>85</v>
      </c>
      <c r="B8" s="4" t="s">
        <v>86</v>
      </c>
      <c r="C8" s="4" t="s">
        <v>60</v>
      </c>
      <c r="D8" s="4" t="s">
        <v>87</v>
      </c>
      <c r="E8" s="4" t="s">
        <v>73</v>
      </c>
      <c r="F8" s="4">
        <v>10</v>
      </c>
      <c r="G8" s="5">
        <v>150</v>
      </c>
      <c r="H8" s="12">
        <v>5</v>
      </c>
      <c r="I8" s="4" t="s">
        <v>63</v>
      </c>
      <c r="J8" t="str">
        <f t="shared" si="0"/>
        <v>Cooking Oil 1L</v>
      </c>
      <c r="K8" t="str">
        <f t="shared" si="1"/>
        <v>Cooking Oil 1L</v>
      </c>
      <c r="O8" t="s">
        <v>80</v>
      </c>
      <c r="P8" t="s">
        <v>81</v>
      </c>
      <c r="Q8" t="s">
        <v>82</v>
      </c>
      <c r="R8" t="s">
        <v>83</v>
      </c>
      <c r="S8" t="s">
        <v>68</v>
      </c>
      <c r="T8">
        <v>8</v>
      </c>
      <c r="U8">
        <v>500</v>
      </c>
      <c r="V8">
        <v>0</v>
      </c>
      <c r="W8" t="s">
        <v>84</v>
      </c>
      <c r="X8" t="s">
        <v>129</v>
      </c>
    </row>
    <row r="9" spans="1:24" x14ac:dyDescent="0.3">
      <c r="A9" s="2" t="s">
        <v>88</v>
      </c>
      <c r="B9" s="2" t="s">
        <v>89</v>
      </c>
      <c r="C9" s="2" t="s">
        <v>90</v>
      </c>
      <c r="D9" s="2" t="s">
        <v>61</v>
      </c>
      <c r="E9" s="2" t="s">
        <v>62</v>
      </c>
      <c r="F9" s="2">
        <v>1</v>
      </c>
      <c r="G9" s="3">
        <v>15000</v>
      </c>
      <c r="H9" s="11">
        <v>10</v>
      </c>
      <c r="I9" s="2" t="s">
        <v>63</v>
      </c>
      <c r="J9" t="str">
        <f t="shared" si="0"/>
        <v>Samsung TV 43"</v>
      </c>
      <c r="K9" t="str">
        <f t="shared" si="1"/>
        <v>Samsung TV 43"</v>
      </c>
      <c r="O9" t="s">
        <v>104</v>
      </c>
      <c r="P9" t="s">
        <v>105</v>
      </c>
      <c r="Q9" t="s">
        <v>90</v>
      </c>
      <c r="R9" t="s">
        <v>83</v>
      </c>
      <c r="S9" t="s">
        <v>68</v>
      </c>
      <c r="T9">
        <v>4</v>
      </c>
      <c r="U9">
        <v>500</v>
      </c>
      <c r="V9">
        <v>5</v>
      </c>
      <c r="W9" t="s">
        <v>63</v>
      </c>
      <c r="X9" t="s">
        <v>129</v>
      </c>
    </row>
    <row r="10" spans="1:24" x14ac:dyDescent="0.3">
      <c r="A10" s="4" t="s">
        <v>91</v>
      </c>
      <c r="B10" s="4" t="s">
        <v>92</v>
      </c>
      <c r="C10" s="4" t="s">
        <v>66</v>
      </c>
      <c r="D10" s="4" t="s">
        <v>93</v>
      </c>
      <c r="E10" s="4" t="s">
        <v>94</v>
      </c>
      <c r="F10" s="4">
        <v>1</v>
      </c>
      <c r="G10" s="5">
        <v>35000</v>
      </c>
      <c r="H10" s="12">
        <v>20</v>
      </c>
      <c r="I10" s="4" t="s">
        <v>63</v>
      </c>
      <c r="J10" t="str">
        <f t="shared" si="0"/>
        <v>Wooden Sofa Set</v>
      </c>
      <c r="K10" t="str">
        <f t="shared" si="1"/>
        <v>Wooden Sofa Set</v>
      </c>
      <c r="O10" t="s">
        <v>64</v>
      </c>
      <c r="P10" t="s">
        <v>65</v>
      </c>
      <c r="Q10" t="s">
        <v>66</v>
      </c>
      <c r="R10" t="s">
        <v>67</v>
      </c>
      <c r="S10" t="s">
        <v>68</v>
      </c>
      <c r="T10">
        <v>5</v>
      </c>
      <c r="U10">
        <v>800</v>
      </c>
      <c r="V10">
        <v>5</v>
      </c>
      <c r="W10" t="s">
        <v>63</v>
      </c>
      <c r="X10" t="s">
        <v>126</v>
      </c>
    </row>
    <row r="11" spans="1:24" x14ac:dyDescent="0.3">
      <c r="A11" s="2" t="s">
        <v>95</v>
      </c>
      <c r="B11" s="2" t="s">
        <v>96</v>
      </c>
      <c r="C11" s="2" t="s">
        <v>71</v>
      </c>
      <c r="D11" s="2" t="s">
        <v>67</v>
      </c>
      <c r="E11" s="2" t="s">
        <v>68</v>
      </c>
      <c r="F11" s="2">
        <v>3</v>
      </c>
      <c r="G11" s="3">
        <v>800</v>
      </c>
      <c r="H11" s="11">
        <v>0</v>
      </c>
      <c r="I11" s="2" t="s">
        <v>75</v>
      </c>
      <c r="J11" t="str">
        <f t="shared" si="0"/>
        <v>Levi's Jeans</v>
      </c>
      <c r="K11" t="str">
        <f t="shared" si="1"/>
        <v>Levi's Jeans</v>
      </c>
      <c r="O11" t="s">
        <v>95</v>
      </c>
      <c r="P11" t="s">
        <v>96</v>
      </c>
      <c r="Q11" t="s">
        <v>71</v>
      </c>
      <c r="R11" t="s">
        <v>67</v>
      </c>
      <c r="S11" t="s">
        <v>68</v>
      </c>
      <c r="T11">
        <v>3</v>
      </c>
      <c r="U11">
        <v>800</v>
      </c>
      <c r="V11">
        <v>0</v>
      </c>
      <c r="W11" t="s">
        <v>75</v>
      </c>
      <c r="X11" t="s">
        <v>126</v>
      </c>
    </row>
    <row r="12" spans="1:24" x14ac:dyDescent="0.3">
      <c r="A12" s="4" t="s">
        <v>97</v>
      </c>
      <c r="B12" s="4" t="s">
        <v>98</v>
      </c>
      <c r="C12" s="4" t="s">
        <v>78</v>
      </c>
      <c r="D12" s="4" t="s">
        <v>72</v>
      </c>
      <c r="E12" s="4" t="s">
        <v>73</v>
      </c>
      <c r="F12" s="4">
        <v>6</v>
      </c>
      <c r="G12" s="5">
        <v>250</v>
      </c>
      <c r="H12" s="12">
        <v>5</v>
      </c>
      <c r="I12" s="4" t="s">
        <v>63</v>
      </c>
      <c r="J12" t="str">
        <f t="shared" si="0"/>
        <v>Basmati Rice 5kg</v>
      </c>
      <c r="K12" t="str">
        <f t="shared" si="1"/>
        <v>Basmati Rice 5kg</v>
      </c>
      <c r="O12" t="s">
        <v>111</v>
      </c>
      <c r="P12" t="s">
        <v>112</v>
      </c>
      <c r="Q12" t="s">
        <v>78</v>
      </c>
      <c r="R12" t="s">
        <v>113</v>
      </c>
      <c r="S12" t="s">
        <v>68</v>
      </c>
      <c r="T12">
        <v>6</v>
      </c>
      <c r="U12">
        <v>1200</v>
      </c>
      <c r="V12">
        <v>10</v>
      </c>
      <c r="W12" t="s">
        <v>63</v>
      </c>
      <c r="X12" t="s">
        <v>134</v>
      </c>
    </row>
    <row r="13" spans="1:24" x14ac:dyDescent="0.3">
      <c r="A13" s="2" t="s">
        <v>99</v>
      </c>
      <c r="B13" s="2" t="s">
        <v>100</v>
      </c>
      <c r="C13" s="2" t="s">
        <v>82</v>
      </c>
      <c r="D13" s="2" t="s">
        <v>101</v>
      </c>
      <c r="E13" s="2" t="s">
        <v>62</v>
      </c>
      <c r="F13" s="2">
        <v>2</v>
      </c>
      <c r="G13" s="3">
        <v>8000</v>
      </c>
      <c r="H13" s="11">
        <v>0</v>
      </c>
      <c r="I13" s="2" t="s">
        <v>63</v>
      </c>
      <c r="J13" t="str">
        <f t="shared" si="0"/>
        <v>JBL Speaker</v>
      </c>
      <c r="K13" t="str">
        <f t="shared" si="1"/>
        <v>JBL Speaker</v>
      </c>
      <c r="O13" t="s">
        <v>120</v>
      </c>
      <c r="P13" t="s">
        <v>121</v>
      </c>
      <c r="Q13" t="s">
        <v>66</v>
      </c>
      <c r="R13" t="s">
        <v>113</v>
      </c>
      <c r="S13" t="s">
        <v>68</v>
      </c>
      <c r="T13">
        <v>2</v>
      </c>
      <c r="U13">
        <v>1200</v>
      </c>
      <c r="V13">
        <v>5</v>
      </c>
      <c r="W13" t="s">
        <v>63</v>
      </c>
      <c r="X13" t="s">
        <v>134</v>
      </c>
    </row>
    <row r="14" spans="1:24" x14ac:dyDescent="0.3">
      <c r="A14" s="4" t="s">
        <v>102</v>
      </c>
      <c r="B14" s="4" t="s">
        <v>103</v>
      </c>
      <c r="C14" s="4" t="s">
        <v>60</v>
      </c>
      <c r="D14" s="4" t="s">
        <v>79</v>
      </c>
      <c r="E14" s="4" t="s">
        <v>62</v>
      </c>
      <c r="F14" s="4">
        <v>1</v>
      </c>
      <c r="G14" s="5">
        <v>25000</v>
      </c>
      <c r="H14" s="12">
        <v>10</v>
      </c>
      <c r="I14" s="4" t="s">
        <v>84</v>
      </c>
      <c r="J14" t="str">
        <f t="shared" si="0"/>
        <v>iPhone 15</v>
      </c>
      <c r="K14" t="str">
        <f t="shared" si="1"/>
        <v>iPhone 15</v>
      </c>
      <c r="O14" t="s">
        <v>139</v>
      </c>
      <c r="P14" t="s">
        <v>140</v>
      </c>
      <c r="Q14" t="s">
        <v>141</v>
      </c>
      <c r="R14" t="s">
        <v>142</v>
      </c>
      <c r="S14" t="s">
        <v>73</v>
      </c>
      <c r="T14">
        <v>3</v>
      </c>
      <c r="U14">
        <v>1500</v>
      </c>
      <c r="V14">
        <v>3</v>
      </c>
      <c r="W14" t="s">
        <v>84</v>
      </c>
      <c r="X14" t="s">
        <v>143</v>
      </c>
    </row>
    <row r="15" spans="1:24" x14ac:dyDescent="0.3">
      <c r="A15" s="2" t="s">
        <v>104</v>
      </c>
      <c r="B15" s="2" t="s">
        <v>105</v>
      </c>
      <c r="C15" s="2" t="s">
        <v>90</v>
      </c>
      <c r="D15" s="2" t="s">
        <v>83</v>
      </c>
      <c r="E15" s="2" t="s">
        <v>68</v>
      </c>
      <c r="F15" s="2">
        <v>4</v>
      </c>
      <c r="G15" s="3">
        <v>500</v>
      </c>
      <c r="H15" s="11">
        <v>5</v>
      </c>
      <c r="I15" s="2" t="s">
        <v>63</v>
      </c>
      <c r="J15" t="str">
        <f t="shared" si="0"/>
        <v>Cotton Shirt</v>
      </c>
      <c r="K15" t="str">
        <f t="shared" si="1"/>
        <v>Cotton Shirt</v>
      </c>
      <c r="O15" t="s">
        <v>99</v>
      </c>
      <c r="P15" t="s">
        <v>100</v>
      </c>
      <c r="Q15" t="s">
        <v>82</v>
      </c>
      <c r="R15" t="s">
        <v>101</v>
      </c>
      <c r="S15" t="s">
        <v>62</v>
      </c>
      <c r="T15">
        <v>2</v>
      </c>
      <c r="U15">
        <v>8000</v>
      </c>
      <c r="V15">
        <v>0</v>
      </c>
      <c r="W15" t="s">
        <v>63</v>
      </c>
      <c r="X15" t="s">
        <v>132</v>
      </c>
    </row>
    <row r="16" spans="1:24" x14ac:dyDescent="0.3">
      <c r="A16" s="4" t="s">
        <v>106</v>
      </c>
      <c r="B16" s="4" t="s">
        <v>107</v>
      </c>
      <c r="C16" s="4" t="s">
        <v>66</v>
      </c>
      <c r="D16" s="4" t="s">
        <v>108</v>
      </c>
      <c r="E16" s="4" t="s">
        <v>73</v>
      </c>
      <c r="F16" s="4">
        <v>12</v>
      </c>
      <c r="G16" s="5">
        <v>100</v>
      </c>
      <c r="H16" s="12">
        <v>0</v>
      </c>
      <c r="I16" s="4" t="s">
        <v>63</v>
      </c>
      <c r="J16" t="str">
        <f t="shared" si="0"/>
        <v>Bread Loaf</v>
      </c>
      <c r="K16" t="str">
        <f t="shared" si="1"/>
        <v>Bread Loaf</v>
      </c>
      <c r="O16" t="s">
        <v>118</v>
      </c>
      <c r="P16" t="s">
        <v>119</v>
      </c>
      <c r="Q16" t="s">
        <v>90</v>
      </c>
      <c r="R16" t="s">
        <v>101</v>
      </c>
      <c r="S16" t="s">
        <v>62</v>
      </c>
      <c r="T16">
        <v>3</v>
      </c>
      <c r="U16">
        <v>8000</v>
      </c>
      <c r="V16">
        <v>10</v>
      </c>
      <c r="W16" t="s">
        <v>84</v>
      </c>
      <c r="X16" t="s">
        <v>132</v>
      </c>
    </row>
    <row r="17" spans="1:24" x14ac:dyDescent="0.3">
      <c r="A17" s="2" t="s">
        <v>109</v>
      </c>
      <c r="B17" s="2" t="s">
        <v>110</v>
      </c>
      <c r="C17" s="2" t="s">
        <v>71</v>
      </c>
      <c r="D17" s="2" t="s">
        <v>93</v>
      </c>
      <c r="E17" s="2" t="s">
        <v>94</v>
      </c>
      <c r="F17" s="2">
        <v>2</v>
      </c>
      <c r="G17" s="3">
        <v>35000</v>
      </c>
      <c r="H17" s="11">
        <v>15</v>
      </c>
      <c r="I17" s="2" t="s">
        <v>75</v>
      </c>
      <c r="J17" t="str">
        <f t="shared" si="0"/>
        <v>Wooden Sofa Set</v>
      </c>
      <c r="K17" t="str">
        <f t="shared" si="1"/>
        <v>Wooden Sofa Set</v>
      </c>
      <c r="O17" t="s">
        <v>58</v>
      </c>
      <c r="P17" t="s">
        <v>59</v>
      </c>
      <c r="Q17" t="s">
        <v>60</v>
      </c>
      <c r="R17" t="s">
        <v>61</v>
      </c>
      <c r="S17" t="s">
        <v>62</v>
      </c>
      <c r="T17">
        <v>2</v>
      </c>
      <c r="U17">
        <v>15000</v>
      </c>
      <c r="V17">
        <v>10</v>
      </c>
      <c r="W17" t="s">
        <v>63</v>
      </c>
      <c r="X17" t="s">
        <v>125</v>
      </c>
    </row>
    <row r="18" spans="1:24" x14ac:dyDescent="0.3">
      <c r="A18" s="4" t="s">
        <v>111</v>
      </c>
      <c r="B18" s="4" t="s">
        <v>112</v>
      </c>
      <c r="C18" s="4" t="s">
        <v>78</v>
      </c>
      <c r="D18" s="4" t="s">
        <v>113</v>
      </c>
      <c r="E18" s="4" t="s">
        <v>68</v>
      </c>
      <c r="F18" s="4">
        <v>6</v>
      </c>
      <c r="G18" s="5">
        <v>1200</v>
      </c>
      <c r="H18" s="12">
        <v>10</v>
      </c>
      <c r="I18" s="4" t="s">
        <v>63</v>
      </c>
      <c r="J18" t="str">
        <f t="shared" si="0"/>
        <v>Kurti Set</v>
      </c>
      <c r="K18" t="str">
        <f t="shared" si="1"/>
        <v>Kurti Set</v>
      </c>
      <c r="O18" t="s">
        <v>88</v>
      </c>
      <c r="P18" t="s">
        <v>89</v>
      </c>
      <c r="Q18" t="s">
        <v>90</v>
      </c>
      <c r="R18" t="s">
        <v>61</v>
      </c>
      <c r="S18" t="s">
        <v>62</v>
      </c>
      <c r="T18">
        <v>1</v>
      </c>
      <c r="U18">
        <v>15000</v>
      </c>
      <c r="V18">
        <v>10</v>
      </c>
      <c r="W18" t="s">
        <v>63</v>
      </c>
      <c r="X18" t="s">
        <v>125</v>
      </c>
    </row>
    <row r="19" spans="1:24" x14ac:dyDescent="0.3">
      <c r="A19" s="2" t="s">
        <v>114</v>
      </c>
      <c r="B19" s="2" t="s">
        <v>115</v>
      </c>
      <c r="C19" s="2" t="s">
        <v>82</v>
      </c>
      <c r="D19" s="2" t="s">
        <v>61</v>
      </c>
      <c r="E19" s="2" t="s">
        <v>62</v>
      </c>
      <c r="F19" s="2">
        <v>1</v>
      </c>
      <c r="G19" s="3">
        <v>15000</v>
      </c>
      <c r="H19" s="11">
        <v>5</v>
      </c>
      <c r="I19" s="2" t="s">
        <v>63</v>
      </c>
      <c r="J19" t="str">
        <f t="shared" si="0"/>
        <v>Samsung TV 43"</v>
      </c>
      <c r="K19" t="str">
        <f t="shared" si="1"/>
        <v>Samsung TV 43"</v>
      </c>
      <c r="O19" t="s">
        <v>114</v>
      </c>
      <c r="P19" t="s">
        <v>115</v>
      </c>
      <c r="Q19" t="s">
        <v>82</v>
      </c>
      <c r="R19" t="s">
        <v>61</v>
      </c>
      <c r="S19" t="s">
        <v>62</v>
      </c>
      <c r="T19">
        <v>1</v>
      </c>
      <c r="U19">
        <v>15000</v>
      </c>
      <c r="V19">
        <v>5</v>
      </c>
      <c r="W19" t="s">
        <v>63</v>
      </c>
      <c r="X19" t="s">
        <v>125</v>
      </c>
    </row>
    <row r="20" spans="1:24" x14ac:dyDescent="0.3">
      <c r="A20" s="4" t="s">
        <v>116</v>
      </c>
      <c r="B20" s="4" t="s">
        <v>117</v>
      </c>
      <c r="C20" s="4" t="s">
        <v>60</v>
      </c>
      <c r="D20" s="4" t="s">
        <v>87</v>
      </c>
      <c r="E20" s="4" t="s">
        <v>73</v>
      </c>
      <c r="F20" s="4">
        <v>20</v>
      </c>
      <c r="G20" s="5">
        <v>150</v>
      </c>
      <c r="H20" s="12">
        <v>0</v>
      </c>
      <c r="I20" s="4" t="s">
        <v>63</v>
      </c>
      <c r="J20" t="str">
        <f t="shared" si="0"/>
        <v>Cooking Oil 1L</v>
      </c>
      <c r="K20" t="str">
        <f t="shared" si="1"/>
        <v>Cooking Oil 1L</v>
      </c>
      <c r="O20" t="s">
        <v>76</v>
      </c>
      <c r="P20" t="s">
        <v>77</v>
      </c>
      <c r="Q20" t="s">
        <v>78</v>
      </c>
      <c r="R20" t="s">
        <v>79</v>
      </c>
      <c r="S20" t="s">
        <v>62</v>
      </c>
      <c r="T20">
        <v>1</v>
      </c>
      <c r="U20">
        <v>25000</v>
      </c>
      <c r="V20">
        <v>15</v>
      </c>
      <c r="W20" t="s">
        <v>63</v>
      </c>
      <c r="X20" t="s">
        <v>128</v>
      </c>
    </row>
    <row r="21" spans="1:24" x14ac:dyDescent="0.3">
      <c r="A21" s="2" t="s">
        <v>118</v>
      </c>
      <c r="B21" s="2" t="s">
        <v>119</v>
      </c>
      <c r="C21" s="2" t="s">
        <v>90</v>
      </c>
      <c r="D21" s="2" t="s">
        <v>101</v>
      </c>
      <c r="E21" s="2" t="s">
        <v>62</v>
      </c>
      <c r="F21" s="2">
        <v>3</v>
      </c>
      <c r="G21" s="3">
        <v>8000</v>
      </c>
      <c r="H21" s="11">
        <v>10</v>
      </c>
      <c r="I21" s="2" t="s">
        <v>84</v>
      </c>
      <c r="J21" t="str">
        <f t="shared" si="0"/>
        <v>JBL Speaker</v>
      </c>
      <c r="K21" t="str">
        <f t="shared" si="1"/>
        <v>JBL Speaker</v>
      </c>
      <c r="O21" t="s">
        <v>102</v>
      </c>
      <c r="P21" t="s">
        <v>103</v>
      </c>
      <c r="Q21" t="s">
        <v>60</v>
      </c>
      <c r="R21" t="s">
        <v>79</v>
      </c>
      <c r="S21" t="s">
        <v>62</v>
      </c>
      <c r="T21">
        <v>1</v>
      </c>
      <c r="U21">
        <v>25000</v>
      </c>
      <c r="V21">
        <v>10</v>
      </c>
      <c r="W21" t="s">
        <v>84</v>
      </c>
      <c r="X21" t="s">
        <v>128</v>
      </c>
    </row>
    <row r="22" spans="1:24" x14ac:dyDescent="0.3">
      <c r="A22" s="4" t="s">
        <v>120</v>
      </c>
      <c r="B22" s="4" t="s">
        <v>121</v>
      </c>
      <c r="C22" s="4" t="s">
        <v>66</v>
      </c>
      <c r="D22" s="4" t="s">
        <v>113</v>
      </c>
      <c r="E22" s="4" t="s">
        <v>68</v>
      </c>
      <c r="F22" s="4">
        <v>2</v>
      </c>
      <c r="G22" s="5">
        <v>1200</v>
      </c>
      <c r="H22" s="12">
        <v>5</v>
      </c>
      <c r="I22" s="4" t="s">
        <v>63</v>
      </c>
      <c r="J22" t="str">
        <f t="shared" si="0"/>
        <v>Kurti Set</v>
      </c>
      <c r="K22" t="str">
        <f t="shared" si="1"/>
        <v>Kurti Set</v>
      </c>
      <c r="O22" t="s">
        <v>91</v>
      </c>
      <c r="P22" t="s">
        <v>92</v>
      </c>
      <c r="Q22" t="s">
        <v>66</v>
      </c>
      <c r="R22" t="s">
        <v>93</v>
      </c>
      <c r="S22" t="s">
        <v>94</v>
      </c>
      <c r="T22">
        <v>1</v>
      </c>
      <c r="U22">
        <v>35000</v>
      </c>
      <c r="V22">
        <v>20</v>
      </c>
      <c r="W22" t="s">
        <v>63</v>
      </c>
      <c r="X22" t="s">
        <v>131</v>
      </c>
    </row>
    <row r="23" spans="1:24" x14ac:dyDescent="0.3">
      <c r="A23" s="4" t="s">
        <v>139</v>
      </c>
      <c r="B23" s="4" t="s">
        <v>140</v>
      </c>
      <c r="C23" s="4" t="s">
        <v>141</v>
      </c>
      <c r="D23" s="8" t="s">
        <v>142</v>
      </c>
      <c r="E23" s="4" t="s">
        <v>73</v>
      </c>
      <c r="F23" s="8">
        <v>3</v>
      </c>
      <c r="G23" s="18">
        <v>1500</v>
      </c>
      <c r="H23" s="19">
        <v>3</v>
      </c>
      <c r="I23" s="8" t="s">
        <v>84</v>
      </c>
      <c r="J23" t="str">
        <f t="shared" si="0"/>
        <v>Not Found</v>
      </c>
      <c r="K23" t="str">
        <f t="shared" si="1"/>
        <v>Not Found</v>
      </c>
      <c r="O23" t="s">
        <v>109</v>
      </c>
      <c r="P23" t="s">
        <v>110</v>
      </c>
      <c r="Q23" t="s">
        <v>71</v>
      </c>
      <c r="R23" t="s">
        <v>93</v>
      </c>
      <c r="S23" t="s">
        <v>94</v>
      </c>
      <c r="T23">
        <v>2</v>
      </c>
      <c r="U23">
        <v>35000</v>
      </c>
      <c r="V23">
        <v>15</v>
      </c>
      <c r="W23" t="s">
        <v>75</v>
      </c>
      <c r="X23" t="s">
        <v>131</v>
      </c>
    </row>
    <row r="25" spans="1:24" ht="24" customHeight="1" x14ac:dyDescent="0.3">
      <c r="A25" s="13" t="s">
        <v>122</v>
      </c>
      <c r="B25" s="14"/>
      <c r="C25" s="14"/>
      <c r="D25" s="14"/>
    </row>
    <row r="26" spans="1:24" ht="27.6" x14ac:dyDescent="0.3">
      <c r="A26" s="10" t="s">
        <v>52</v>
      </c>
      <c r="B26" s="10" t="s">
        <v>123</v>
      </c>
      <c r="C26" s="10" t="s">
        <v>53</v>
      </c>
      <c r="D26" s="10" t="s">
        <v>124</v>
      </c>
    </row>
    <row r="27" spans="1:24" x14ac:dyDescent="0.3">
      <c r="A27" s="2" t="s">
        <v>61</v>
      </c>
      <c r="B27" s="2" t="s">
        <v>125</v>
      </c>
      <c r="C27" s="2" t="s">
        <v>62</v>
      </c>
      <c r="D27" s="2">
        <v>45</v>
      </c>
    </row>
    <row r="28" spans="1:24" x14ac:dyDescent="0.3">
      <c r="A28" s="4" t="s">
        <v>67</v>
      </c>
      <c r="B28" s="4" t="s">
        <v>126</v>
      </c>
      <c r="C28" s="4" t="s">
        <v>68</v>
      </c>
      <c r="D28" s="4">
        <v>120</v>
      </c>
      <c r="F28" s="16" t="s">
        <v>61</v>
      </c>
      <c r="G28" s="16" t="s">
        <v>67</v>
      </c>
      <c r="H28" s="16" t="s">
        <v>72</v>
      </c>
    </row>
    <row r="29" spans="1:24" ht="26.4" x14ac:dyDescent="0.3">
      <c r="A29" s="2" t="s">
        <v>72</v>
      </c>
      <c r="B29" s="2" t="s">
        <v>127</v>
      </c>
      <c r="C29" s="2" t="s">
        <v>73</v>
      </c>
      <c r="D29" s="2">
        <v>300</v>
      </c>
      <c r="F29" s="17" t="s">
        <v>135</v>
      </c>
      <c r="G29" s="17" t="s">
        <v>136</v>
      </c>
      <c r="H29" s="17" t="s">
        <v>137</v>
      </c>
    </row>
    <row r="30" spans="1:24" x14ac:dyDescent="0.3">
      <c r="A30" s="4" t="s">
        <v>79</v>
      </c>
      <c r="B30" s="4" t="s">
        <v>128</v>
      </c>
      <c r="C30" s="4" t="s">
        <v>62</v>
      </c>
      <c r="D30" s="4">
        <v>20</v>
      </c>
    </row>
    <row r="31" spans="1:24" x14ac:dyDescent="0.3">
      <c r="A31" s="2" t="s">
        <v>83</v>
      </c>
      <c r="B31" s="2" t="s">
        <v>129</v>
      </c>
      <c r="C31" s="2" t="s">
        <v>68</v>
      </c>
      <c r="D31" s="2">
        <v>200</v>
      </c>
    </row>
    <row r="32" spans="1:24" x14ac:dyDescent="0.3">
      <c r="A32" s="4" t="s">
        <v>87</v>
      </c>
      <c r="B32" s="4" t="s">
        <v>130</v>
      </c>
      <c r="C32" s="4" t="s">
        <v>73</v>
      </c>
      <c r="D32" s="4">
        <v>500</v>
      </c>
    </row>
    <row r="33" spans="1:4" ht="26.4" x14ac:dyDescent="0.3">
      <c r="A33" s="2" t="s">
        <v>93</v>
      </c>
      <c r="B33" s="2" t="s">
        <v>131</v>
      </c>
      <c r="C33" s="2" t="s">
        <v>94</v>
      </c>
      <c r="D33" s="2">
        <v>10</v>
      </c>
    </row>
    <row r="34" spans="1:4" x14ac:dyDescent="0.3">
      <c r="A34" s="4" t="s">
        <v>101</v>
      </c>
      <c r="B34" s="4" t="s">
        <v>132</v>
      </c>
      <c r="C34" s="4" t="s">
        <v>62</v>
      </c>
      <c r="D34" s="4">
        <v>60</v>
      </c>
    </row>
    <row r="35" spans="1:4" x14ac:dyDescent="0.3">
      <c r="A35" s="2" t="s">
        <v>108</v>
      </c>
      <c r="B35" s="2" t="s">
        <v>133</v>
      </c>
      <c r="C35" s="2" t="s">
        <v>73</v>
      </c>
      <c r="D35" s="2">
        <v>80</v>
      </c>
    </row>
    <row r="36" spans="1:4" x14ac:dyDescent="0.3">
      <c r="A36" s="4" t="s">
        <v>113</v>
      </c>
      <c r="B36" s="4" t="s">
        <v>134</v>
      </c>
      <c r="C36" s="4" t="s">
        <v>68</v>
      </c>
      <c r="D36" s="4">
        <v>150</v>
      </c>
    </row>
  </sheetData>
  <mergeCells count="2">
    <mergeCell ref="A1:I1"/>
    <mergeCell ref="A25:D25"/>
  </mergeCells>
  <phoneticPr fontId="5" type="noConversion"/>
  <conditionalFormatting sqref="G3:G23">
    <cfRule type="colorScale" priority="1">
      <colorScale>
        <cfvo type="num" val="1000"/>
        <cfvo type="max"/>
        <color rgb="FFC00000"/>
        <color rgb="FFFFEF9C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 Employee Sales</vt:lpstr>
      <vt:lpstr>Supermarket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Sauhar Khanal</cp:lastModifiedBy>
  <dcterms:created xsi:type="dcterms:W3CDTF">2026-05-20T13:10:11Z</dcterms:created>
  <dcterms:modified xsi:type="dcterms:W3CDTF">2026-05-21T02:47:56Z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2248cf-7f03-4ea3-bc21-100a3e94dc1a_Enabled">
    <vt:lpwstr>true</vt:lpwstr>
  </property>
  <property fmtid="{D5CDD505-2E9C-101B-9397-08002B2CF9AE}" pid="3" name="MSIP_Label_0b2248cf-7f03-4ea3-bc21-100a3e94dc1a_SetDate">
    <vt:lpwstr>2026-05-20T15:06:30Z</vt:lpwstr>
  </property>
  <property fmtid="{D5CDD505-2E9C-101B-9397-08002B2CF9AE}" pid="4" name="MSIP_Label_0b2248cf-7f03-4ea3-bc21-100a3e94dc1a_Method">
    <vt:lpwstr>Standard</vt:lpwstr>
  </property>
  <property fmtid="{D5CDD505-2E9C-101B-9397-08002B2CF9AE}" pid="5" name="MSIP_Label_0b2248cf-7f03-4ea3-bc21-100a3e94dc1a_Name">
    <vt:lpwstr>defa4170-0d19-0005-0004-bc88714345d2</vt:lpwstr>
  </property>
  <property fmtid="{D5CDD505-2E9C-101B-9397-08002B2CF9AE}" pid="6" name="MSIP_Label_0b2248cf-7f03-4ea3-bc21-100a3e94dc1a_SiteId">
    <vt:lpwstr>8ccadef0-d125-45d2-82b6-d3a9d60db293</vt:lpwstr>
  </property>
  <property fmtid="{D5CDD505-2E9C-101B-9397-08002B2CF9AE}" pid="7" name="MSIP_Label_0b2248cf-7f03-4ea3-bc21-100a3e94dc1a_ActionId">
    <vt:lpwstr>71a97129-3558-401b-a57e-8817384a8fbd</vt:lpwstr>
  </property>
  <property fmtid="{D5CDD505-2E9C-101B-9397-08002B2CF9AE}" pid="8" name="MSIP_Label_0b2248cf-7f03-4ea3-bc21-100a3e94dc1a_ContentBits">
    <vt:lpwstr>0</vt:lpwstr>
  </property>
  <property fmtid="{D5CDD505-2E9C-101B-9397-08002B2CF9AE}" pid="9" name="MSIP_Label_0b2248cf-7f03-4ea3-bc21-100a3e94dc1a_Tag">
    <vt:lpwstr>10, 3, 0, 1</vt:lpwstr>
  </property>
</Properties>
</file>