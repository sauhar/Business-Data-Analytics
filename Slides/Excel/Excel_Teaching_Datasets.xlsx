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WAI\Slides\Excel\"/>
    </mc:Choice>
  </mc:AlternateContent>
  <xr:revisionPtr revIDLastSave="0" documentId="13_ncr:1_{7FB9305C-F13A-4736-8143-994C70A25B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 Employee Sales" sheetId="1" r:id="rId1"/>
    <sheet name="02 Supermarket Sales" sheetId="2" r:id="rId2"/>
    <sheet name="03 Student Marks" sheetId="3" r:id="rId3"/>
    <sheet name="04 Budget Tracker" sheetId="4" r:id="rId4"/>
    <sheet name="05 HR Employee Data" sheetId="5" r:id="rId5"/>
    <sheet name="06 Inventory VLOOKUP" sheetId="6" r:id="rId6"/>
  </sheets>
  <definedNames>
    <definedName name="_xlnm._FilterDatabase" localSheetId="0" hidden="1">'01 Employee Sales'!$A$2:$I$22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K11" i="6" s="1"/>
  <c r="H11" i="6"/>
  <c r="I10" i="6"/>
  <c r="K10" i="6" s="1"/>
  <c r="H10" i="6"/>
  <c r="I9" i="6"/>
  <c r="K9" i="6" s="1"/>
  <c r="H9" i="6"/>
  <c r="I8" i="6"/>
  <c r="K8" i="6" s="1"/>
  <c r="H8" i="6"/>
  <c r="I7" i="6"/>
  <c r="K7" i="6" s="1"/>
  <c r="H7" i="6"/>
  <c r="I6" i="6"/>
  <c r="K6" i="6" s="1"/>
  <c r="H6" i="6"/>
  <c r="I5" i="6"/>
  <c r="K5" i="6" s="1"/>
  <c r="H5" i="6"/>
  <c r="I4" i="6"/>
  <c r="K4" i="6" s="1"/>
  <c r="H4" i="6"/>
  <c r="K12" i="5"/>
  <c r="L12" i="5" s="1"/>
  <c r="J12" i="5"/>
  <c r="I12" i="5"/>
  <c r="H12" i="5"/>
  <c r="K11" i="5"/>
  <c r="L11" i="5" s="1"/>
  <c r="J11" i="5"/>
  <c r="I11" i="5"/>
  <c r="H11" i="5"/>
  <c r="K10" i="5"/>
  <c r="L10" i="5" s="1"/>
  <c r="J10" i="5"/>
  <c r="I10" i="5"/>
  <c r="H10" i="5"/>
  <c r="K9" i="5"/>
  <c r="L9" i="5" s="1"/>
  <c r="J9" i="5"/>
  <c r="I9" i="5"/>
  <c r="H9" i="5"/>
  <c r="K8" i="5"/>
  <c r="L8" i="5" s="1"/>
  <c r="J8" i="5"/>
  <c r="I8" i="5"/>
  <c r="H8" i="5"/>
  <c r="K7" i="5"/>
  <c r="L7" i="5" s="1"/>
  <c r="J7" i="5"/>
  <c r="I7" i="5"/>
  <c r="H7" i="5"/>
  <c r="K6" i="5"/>
  <c r="L6" i="5" s="1"/>
  <c r="J6" i="5"/>
  <c r="I6" i="5"/>
  <c r="H6" i="5"/>
  <c r="K5" i="5"/>
  <c r="L5" i="5" s="1"/>
  <c r="J5" i="5"/>
  <c r="I5" i="5"/>
  <c r="H5" i="5"/>
  <c r="K4" i="5"/>
  <c r="L4" i="5" s="1"/>
  <c r="J4" i="5"/>
  <c r="I4" i="5"/>
  <c r="H4" i="5"/>
  <c r="K3" i="5"/>
  <c r="L3" i="5" s="1"/>
  <c r="J3" i="5"/>
  <c r="I3" i="5"/>
  <c r="H3" i="5"/>
  <c r="E21" i="4"/>
  <c r="D21" i="4"/>
  <c r="C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6" i="4"/>
  <c r="G16" i="4"/>
  <c r="F16" i="4"/>
  <c r="E16" i="4"/>
  <c r="H15" i="4"/>
  <c r="G15" i="4"/>
  <c r="F15" i="4"/>
  <c r="E15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H5" i="4"/>
  <c r="G5" i="4"/>
  <c r="F5" i="4"/>
  <c r="E5" i="4"/>
  <c r="H4" i="4"/>
  <c r="G4" i="4"/>
  <c r="F4" i="4"/>
  <c r="E4" i="4"/>
  <c r="H3" i="4"/>
  <c r="G3" i="4"/>
  <c r="F3" i="4"/>
  <c r="E3" i="4"/>
  <c r="K17" i="3"/>
  <c r="I17" i="3"/>
  <c r="J17" i="3" s="1"/>
  <c r="H17" i="3"/>
  <c r="K16" i="3"/>
  <c r="I16" i="3"/>
  <c r="J16" i="3" s="1"/>
  <c r="H16" i="3"/>
  <c r="K15" i="3"/>
  <c r="I15" i="3"/>
  <c r="J15" i="3" s="1"/>
  <c r="H15" i="3"/>
  <c r="K14" i="3"/>
  <c r="I14" i="3"/>
  <c r="J14" i="3" s="1"/>
  <c r="H14" i="3"/>
  <c r="K13" i="3"/>
  <c r="I13" i="3"/>
  <c r="J13" i="3" s="1"/>
  <c r="H13" i="3"/>
  <c r="K12" i="3"/>
  <c r="I12" i="3"/>
  <c r="J12" i="3" s="1"/>
  <c r="H12" i="3"/>
  <c r="K11" i="3"/>
  <c r="I11" i="3"/>
  <c r="J11" i="3" s="1"/>
  <c r="H11" i="3"/>
  <c r="K10" i="3"/>
  <c r="I10" i="3"/>
  <c r="J10" i="3" s="1"/>
  <c r="H10" i="3"/>
  <c r="K9" i="3"/>
  <c r="I9" i="3"/>
  <c r="J9" i="3" s="1"/>
  <c r="H9" i="3"/>
  <c r="K8" i="3"/>
  <c r="I8" i="3"/>
  <c r="J8" i="3" s="1"/>
  <c r="H8" i="3"/>
  <c r="K7" i="3"/>
  <c r="I7" i="3"/>
  <c r="J7" i="3" s="1"/>
  <c r="H7" i="3"/>
  <c r="K6" i="3"/>
  <c r="I6" i="3"/>
  <c r="J6" i="3" s="1"/>
  <c r="H6" i="3"/>
  <c r="K5" i="3"/>
  <c r="I5" i="3"/>
  <c r="J5" i="3" s="1"/>
  <c r="H5" i="3"/>
  <c r="K4" i="3"/>
  <c r="I4" i="3"/>
  <c r="J4" i="3" s="1"/>
  <c r="H4" i="3"/>
  <c r="K3" i="3"/>
  <c r="I3" i="3"/>
  <c r="H3" i="3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E32" i="1"/>
  <c r="E29" i="1"/>
  <c r="E28" i="1"/>
  <c r="E27" i="1"/>
  <c r="E25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I4" i="1" l="1"/>
  <c r="E20" i="3"/>
  <c r="E24" i="3"/>
  <c r="I16" i="1"/>
  <c r="I9" i="1"/>
  <c r="I13" i="1"/>
  <c r="I17" i="1"/>
  <c r="I21" i="1"/>
  <c r="I10" i="1"/>
  <c r="E22" i="3"/>
  <c r="F21" i="4"/>
  <c r="E23" i="3"/>
  <c r="E21" i="3"/>
  <c r="I6" i="1"/>
  <c r="I22" i="1"/>
  <c r="I7" i="1"/>
  <c r="I11" i="1"/>
  <c r="I15" i="1"/>
  <c r="I19" i="1"/>
  <c r="I12" i="1"/>
  <c r="I14" i="1"/>
  <c r="E26" i="1"/>
  <c r="I18" i="1"/>
  <c r="I5" i="1"/>
  <c r="I8" i="1"/>
  <c r="I20" i="1"/>
  <c r="I3" i="1"/>
  <c r="J3" i="3"/>
  <c r="E31" i="1"/>
  <c r="E30" i="1" l="1"/>
  <c r="E25" i="3"/>
  <c r="E27" i="3"/>
  <c r="E26" i="3"/>
</calcChain>
</file>

<file path=xl/sharedStrings.xml><?xml version="1.0" encoding="utf-8"?>
<sst xmlns="http://schemas.openxmlformats.org/spreadsheetml/2006/main" count="497" uniqueCount="314">
  <si>
    <t>Topics: SUM, AVERAGE, MAX, MIN, IF, COUNTIF, SUMIF, Sorting, Filtering, Basic Charts</t>
  </si>
  <si>
    <t>Emp ID</t>
  </si>
  <si>
    <t>Name</t>
  </si>
  <si>
    <t>Department</t>
  </si>
  <si>
    <t>Month</t>
  </si>
  <si>
    <t>Units Sold</t>
  </si>
  <si>
    <t>Price Per Unit</t>
  </si>
  <si>
    <t>Total Revenue</t>
  </si>
  <si>
    <t>Commission %</t>
  </si>
  <si>
    <t>Commission Amount</t>
  </si>
  <si>
    <t>E001</t>
  </si>
  <si>
    <t>Aarav Sharma</t>
  </si>
  <si>
    <t>Sales</t>
  </si>
  <si>
    <t>January</t>
  </si>
  <si>
    <t>E002</t>
  </si>
  <si>
    <t>Priya Thapa</t>
  </si>
  <si>
    <t>Marketing</t>
  </si>
  <si>
    <t>E003</t>
  </si>
  <si>
    <t>Bikash Rai</t>
  </si>
  <si>
    <t>E004</t>
  </si>
  <si>
    <t>Sita Gurung</t>
  </si>
  <si>
    <t>IT</t>
  </si>
  <si>
    <t>E005</t>
  </si>
  <si>
    <t>Raju Magar</t>
  </si>
  <si>
    <t>E006</t>
  </si>
  <si>
    <t>February</t>
  </si>
  <si>
    <t>E007</t>
  </si>
  <si>
    <t>E008</t>
  </si>
  <si>
    <t>E009</t>
  </si>
  <si>
    <t>E010</t>
  </si>
  <si>
    <t>E011</t>
  </si>
  <si>
    <t>March</t>
  </si>
  <si>
    <t>E012</t>
  </si>
  <si>
    <t>E013</t>
  </si>
  <si>
    <t>E014</t>
  </si>
  <si>
    <t>E015</t>
  </si>
  <si>
    <t>E016</t>
  </si>
  <si>
    <t>April</t>
  </si>
  <si>
    <t>E017</t>
  </si>
  <si>
    <t>E018</t>
  </si>
  <si>
    <t>E019</t>
  </si>
  <si>
    <t>E020</t>
  </si>
  <si>
    <t>SUMMARY CALCULATIONS</t>
  </si>
  <si>
    <t>Total Units Sold</t>
  </si>
  <si>
    <t>Total Revenue (NPR)</t>
  </si>
  <si>
    <t>Average Units/Month</t>
  </si>
  <si>
    <t>Max Units Sold</t>
  </si>
  <si>
    <t>Min Units Sold</t>
  </si>
  <si>
    <t>Total Commission</t>
  </si>
  <si>
    <t>Sales Dept Revenue</t>
  </si>
  <si>
    <t>Count &gt;50 Units</t>
  </si>
  <si>
    <t>Topics: VLOOKUP, HLOOKUP, INDEX-MATCH, Conditional Formatting, Pivot Table, Pie Chart</t>
  </si>
  <si>
    <t>Order ID</t>
  </si>
  <si>
    <t>Date</t>
  </si>
  <si>
    <t>Customer Name</t>
  </si>
  <si>
    <t>Product ID</t>
  </si>
  <si>
    <t>Category</t>
  </si>
  <si>
    <t>Quantity</t>
  </si>
  <si>
    <t>Unit Price</t>
  </si>
  <si>
    <t>Discount %</t>
  </si>
  <si>
    <t>Total Amount</t>
  </si>
  <si>
    <t>Status</t>
  </si>
  <si>
    <t>ORD001</t>
  </si>
  <si>
    <t>2024-01-05</t>
  </si>
  <si>
    <t>Ram Bahadur</t>
  </si>
  <si>
    <t>P001</t>
  </si>
  <si>
    <t>Electronics</t>
  </si>
  <si>
    <t>Delivered</t>
  </si>
  <si>
    <t>ORD002</t>
  </si>
  <si>
    <t>2024-01-08</t>
  </si>
  <si>
    <t>Sita Devi</t>
  </si>
  <si>
    <t>P002</t>
  </si>
  <si>
    <t>Clothing</t>
  </si>
  <si>
    <t>ORD003</t>
  </si>
  <si>
    <t>2024-01-12</t>
  </si>
  <si>
    <t>Hari Prasad</t>
  </si>
  <si>
    <t>P003</t>
  </si>
  <si>
    <t>Food</t>
  </si>
  <si>
    <t>3</t>
  </si>
  <si>
    <t>Pending</t>
  </si>
  <si>
    <t>ORD004</t>
  </si>
  <si>
    <t>2024-01-15</t>
  </si>
  <si>
    <t>Gita Kumari</t>
  </si>
  <si>
    <t>P004</t>
  </si>
  <si>
    <t>ORD005</t>
  </si>
  <si>
    <t>2024-01-20</t>
  </si>
  <si>
    <t>Bishnu Lal</t>
  </si>
  <si>
    <t>P005</t>
  </si>
  <si>
    <t>Cancelled</t>
  </si>
  <si>
    <t>ORD006</t>
  </si>
  <si>
    <t>2024-02-03</t>
  </si>
  <si>
    <t>P006</t>
  </si>
  <si>
    <t>ORD007</t>
  </si>
  <si>
    <t>2024-02-10</t>
  </si>
  <si>
    <t>Mohan Thapa</t>
  </si>
  <si>
    <t>ORD008</t>
  </si>
  <si>
    <t>2024-02-14</t>
  </si>
  <si>
    <t>P007</t>
  </si>
  <si>
    <t>Furniture</t>
  </si>
  <si>
    <t>ORD009</t>
  </si>
  <si>
    <t>2024-02-18</t>
  </si>
  <si>
    <t>ORD010</t>
  </si>
  <si>
    <t>2024-02-22</t>
  </si>
  <si>
    <t>ORD011</t>
  </si>
  <si>
    <t>2024-03-05</t>
  </si>
  <si>
    <t>P008</t>
  </si>
  <si>
    <t>ORD012</t>
  </si>
  <si>
    <t>2024-03-10</t>
  </si>
  <si>
    <t>ORD013</t>
  </si>
  <si>
    <t>2024-03-15</t>
  </si>
  <si>
    <t>ORD014</t>
  </si>
  <si>
    <t>2024-03-20</t>
  </si>
  <si>
    <t>P009</t>
  </si>
  <si>
    <t>ORD015</t>
  </si>
  <si>
    <t>2024-03-25</t>
  </si>
  <si>
    <t>ORD016</t>
  </si>
  <si>
    <t>2024-04-02</t>
  </si>
  <si>
    <t>P010</t>
  </si>
  <si>
    <t>ORD017</t>
  </si>
  <si>
    <t>2024-04-08</t>
  </si>
  <si>
    <t>ORD018</t>
  </si>
  <si>
    <t>2024-04-12</t>
  </si>
  <si>
    <t>ORD019</t>
  </si>
  <si>
    <t>2024-04-18</t>
  </si>
  <si>
    <t>ORD020</t>
  </si>
  <si>
    <t>2024-04-25</t>
  </si>
  <si>
    <t>Product Lookup Table (use for VLOOKUP practice)</t>
  </si>
  <si>
    <t>Product Name</t>
  </si>
  <si>
    <t>Stock Qty</t>
  </si>
  <si>
    <t>Samsung TV 43"</t>
  </si>
  <si>
    <t>Levi's Jeans</t>
  </si>
  <si>
    <t>Basmati Rice 5kg</t>
  </si>
  <si>
    <t>iPhone 15</t>
  </si>
  <si>
    <t>Cotton Shirt</t>
  </si>
  <si>
    <t>Cooking Oil 1L</t>
  </si>
  <si>
    <t>Wooden Sofa Set</t>
  </si>
  <si>
    <t>JBL Speaker</t>
  </si>
  <si>
    <t>Bread Loaf</t>
  </si>
  <si>
    <t>Kurti Set</t>
  </si>
  <si>
    <t>Topics: IF, AND, OR, Nested IF, RANK, COUNTIF, AVERAGEIF, Grade logic, Bar Chart</t>
  </si>
  <si>
    <t>Student ID</t>
  </si>
  <si>
    <t>Math</t>
  </si>
  <si>
    <t>Science</t>
  </si>
  <si>
    <t>English</t>
  </si>
  <si>
    <t>Nepali</t>
  </si>
  <si>
    <t>Computer</t>
  </si>
  <si>
    <t>Total</t>
  </si>
  <si>
    <t>Average</t>
  </si>
  <si>
    <t>Grade</t>
  </si>
  <si>
    <t>Result</t>
  </si>
  <si>
    <t>S001</t>
  </si>
  <si>
    <t>Aarav Shrestha</t>
  </si>
  <si>
    <t>S002</t>
  </si>
  <si>
    <t>Binita Tamang</t>
  </si>
  <si>
    <t>S003</t>
  </si>
  <si>
    <t>Chiran Malla</t>
  </si>
  <si>
    <t>S004</t>
  </si>
  <si>
    <t>Deepa Karki</t>
  </si>
  <si>
    <t>S005</t>
  </si>
  <si>
    <t>Elan Rai</t>
  </si>
  <si>
    <t>S006</t>
  </si>
  <si>
    <t>Fuja Limbu</t>
  </si>
  <si>
    <t>S007</t>
  </si>
  <si>
    <t>Gopal Thapa</t>
  </si>
  <si>
    <t>S008</t>
  </si>
  <si>
    <t>Hira Bista</t>
  </si>
  <si>
    <t>S009</t>
  </si>
  <si>
    <t>Isha Adhikari</t>
  </si>
  <si>
    <t>S010</t>
  </si>
  <si>
    <t>Janak Poudel</t>
  </si>
  <si>
    <t>S011</t>
  </si>
  <si>
    <t>Kiran Bogati</t>
  </si>
  <si>
    <t>S012</t>
  </si>
  <si>
    <t>Laxmi Gautam</t>
  </si>
  <si>
    <t>S013</t>
  </si>
  <si>
    <t>Mohan Aryal</t>
  </si>
  <si>
    <t>S014</t>
  </si>
  <si>
    <t>Nisha Koirala</t>
  </si>
  <si>
    <t>S015</t>
  </si>
  <si>
    <t>Omkar Singh</t>
  </si>
  <si>
    <t>Class Statistics</t>
  </si>
  <si>
    <t>Class Average</t>
  </si>
  <si>
    <t>Highest Score</t>
  </si>
  <si>
    <t>Lowest Score</t>
  </si>
  <si>
    <t>Students Passed</t>
  </si>
  <si>
    <t>Students Failed</t>
  </si>
  <si>
    <t>A+ Grade Count</t>
  </si>
  <si>
    <t>A Grade Count</t>
  </si>
  <si>
    <t>F Grade Count</t>
  </si>
  <si>
    <t>Topics: SUM, subtraction, %, IF, Conditional Formatting with colors</t>
  </si>
  <si>
    <t>Sub-Category</t>
  </si>
  <si>
    <t>Budget (NPR)</t>
  </si>
  <si>
    <t>Actual Spent</t>
  </si>
  <si>
    <t>Difference</t>
  </si>
  <si>
    <t>% Used</t>
  </si>
  <si>
    <t>Note</t>
  </si>
  <si>
    <t>Groceries</t>
  </si>
  <si>
    <t>Restaurant</t>
  </si>
  <si>
    <t>Snacks</t>
  </si>
  <si>
    <t>Transport</t>
  </si>
  <si>
    <t>Fuel</t>
  </si>
  <si>
    <t>Public Transport</t>
  </si>
  <si>
    <t>Taxi/Ride</t>
  </si>
  <si>
    <t>Housing</t>
  </si>
  <si>
    <t>Rent</t>
  </si>
  <si>
    <t>Electricity</t>
  </si>
  <si>
    <t>Water/Internet</t>
  </si>
  <si>
    <t>Education</t>
  </si>
  <si>
    <t>Books</t>
  </si>
  <si>
    <t>Tuition</t>
  </si>
  <si>
    <t>Stationery</t>
  </si>
  <si>
    <t>Health</t>
  </si>
  <si>
    <t>Medicine</t>
  </si>
  <si>
    <t>Doctor</t>
  </si>
  <si>
    <t>Entertainment</t>
  </si>
  <si>
    <t>Movies/OTT</t>
  </si>
  <si>
    <t>Sports</t>
  </si>
  <si>
    <t>Savings</t>
  </si>
  <si>
    <t>Emergency Fund</t>
  </si>
  <si>
    <t>Investment</t>
  </si>
  <si>
    <t>TOTALS</t>
  </si>
  <si>
    <t>Topics: LEFT, RIGHT, MID, LEN, TRIM, UPPER, LOWER, PROPER, CONCATENATE, TODAY, DATEDIF, YEAR</t>
  </si>
  <si>
    <t>Full Name</t>
  </si>
  <si>
    <t>Email (raw)</t>
  </si>
  <si>
    <t>Phone</t>
  </si>
  <si>
    <t>Join Date</t>
  </si>
  <si>
    <t>Salary</t>
  </si>
  <si>
    <t>First Name</t>
  </si>
  <si>
    <t>Last Name</t>
  </si>
  <si>
    <t>Email Clean</t>
  </si>
  <si>
    <t>Years of Service</t>
  </si>
  <si>
    <t>Annual Bonus</t>
  </si>
  <si>
    <t>HR001</t>
  </si>
  <si>
    <t xml:space="preserve">  aarav sharma  </t>
  </si>
  <si>
    <t>AARAV.SHARMA@company.com</t>
  </si>
  <si>
    <t>9801234567</t>
  </si>
  <si>
    <t>2019-03-15</t>
  </si>
  <si>
    <t>HR002</t>
  </si>
  <si>
    <t>BINITA TAMANG</t>
  </si>
  <si>
    <t>binita.tamang@company.com</t>
  </si>
  <si>
    <t>9812345678</t>
  </si>
  <si>
    <t>2021-07-01</t>
  </si>
  <si>
    <t>HR003</t>
  </si>
  <si>
    <t>bikash rai</t>
  </si>
  <si>
    <t>Bikash.Rai@company.com</t>
  </si>
  <si>
    <t>9823456789</t>
  </si>
  <si>
    <t>2018-11-20</t>
  </si>
  <si>
    <t>HR004</t>
  </si>
  <si>
    <t xml:space="preserve">  SITA GURUNG</t>
  </si>
  <si>
    <t>sita.gurung@company.com</t>
  </si>
  <si>
    <t>9834567890</t>
  </si>
  <si>
    <t>2022-01-10</t>
  </si>
  <si>
    <t>HR</t>
  </si>
  <si>
    <t>HR005</t>
  </si>
  <si>
    <t xml:space="preserve">raju magar  </t>
  </si>
  <si>
    <t>raju.magar@company.com</t>
  </si>
  <si>
    <t>9845678901</t>
  </si>
  <si>
    <t>2020-05-25</t>
  </si>
  <si>
    <t>HR006</t>
  </si>
  <si>
    <t>MOHAN THAPA</t>
  </si>
  <si>
    <t>mohan.thapa@company.com</t>
  </si>
  <si>
    <t>9856789012</t>
  </si>
  <si>
    <t>2017-09-01</t>
  </si>
  <si>
    <t>HR007</t>
  </si>
  <si>
    <t xml:space="preserve">  gita kumari  </t>
  </si>
  <si>
    <t>gita.kumari@company.com</t>
  </si>
  <si>
    <t>9867890123</t>
  </si>
  <si>
    <t>2023-02-14</t>
  </si>
  <si>
    <t>HR008</t>
  </si>
  <si>
    <t>BISHNU LAL</t>
  </si>
  <si>
    <t>bishnu.lal@company.com</t>
  </si>
  <si>
    <t>9878901234</t>
  </si>
  <si>
    <t>2016-12-01</t>
  </si>
  <si>
    <t>Finance</t>
  </si>
  <si>
    <t>HR009</t>
  </si>
  <si>
    <t>nisha koirala</t>
  </si>
  <si>
    <t>nisha.koirala@company.com</t>
  </si>
  <si>
    <t>9889012345</t>
  </si>
  <si>
    <t>2021-08-20</t>
  </si>
  <si>
    <t>HR010</t>
  </si>
  <si>
    <t>OMKAR SINGH</t>
  </si>
  <si>
    <t>omkar.singh@company.com</t>
  </si>
  <si>
    <t>9890123456</t>
  </si>
  <si>
    <t>2019-10-05</t>
  </si>
  <si>
    <t>Topics: VLOOKUP, INDEX, MATCH, IF with VLOOKUP, Data Validation dropdown, Stock alert logic</t>
  </si>
  <si>
    <t>PRICE LIST (Lookup Table)</t>
  </si>
  <si>
    <t>ORDERS — Practice VLOOKUP here</t>
  </si>
  <si>
    <t>Product Code</t>
  </si>
  <si>
    <t>Supplier</t>
  </si>
  <si>
    <t>Qty Ordered</t>
  </si>
  <si>
    <t>Total Value</t>
  </si>
  <si>
    <t>PC001</t>
  </si>
  <si>
    <t>Laptop HP 15</t>
  </si>
  <si>
    <t>Tech Nepal</t>
  </si>
  <si>
    <t>PC003</t>
  </si>
  <si>
    <t>PC002</t>
  </si>
  <si>
    <t>Wireless Mouse</t>
  </si>
  <si>
    <t>A4 Paper Ream</t>
  </si>
  <si>
    <t>Asha Traders</t>
  </si>
  <si>
    <t>PC006</t>
  </si>
  <si>
    <t>PC004</t>
  </si>
  <si>
    <t>Office Chair</t>
  </si>
  <si>
    <t>Comfort Plus</t>
  </si>
  <si>
    <t>PC005</t>
  </si>
  <si>
    <t>USB Hub 4-Port</t>
  </si>
  <si>
    <t>Notebook 200pg</t>
  </si>
  <si>
    <t>PC008</t>
  </si>
  <si>
    <t>PC007</t>
  </si>
  <si>
    <t>Standing Desk</t>
  </si>
  <si>
    <t>Webcam HD</t>
  </si>
  <si>
    <t>PC009</t>
  </si>
  <si>
    <t>Pen (Box 12)</t>
  </si>
  <si>
    <t>PC010</t>
  </si>
  <si>
    <t>Filing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</si>
</sst>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1D4ED8"/>
      <name val="Arial"/>
    </font>
    <font>
      <b/>
      <sz val="11"/>
      <color rgb="FFFFFFFF"/>
      <name val="Arial"/>
    </font>
    <font>
      <sz val="10"/>
      <color rgb="FF1E293B"/>
      <name val="Arial"/>
    </font>
    <font>
      <b/>
      <sz val="10"/>
      <color rgb="FF1E293B"/>
      <name val="Arial"/>
    </font>
    <font>
      <sz val="10"/>
      <color rgb="FF1D4ED8"/>
      <name val="Arial"/>
    </font>
    <font>
      <sz val="10"/>
      <color rgb="FF15803D"/>
      <name val="Arial"/>
    </font>
    <font>
      <b/>
      <sz val="11"/>
      <color rgb="FFB45309"/>
      <name val="Arial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F766E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FFFBEB"/>
      </patternFill>
    </fill>
    <fill>
      <patternFill patternType="solid">
        <fgColor rgb="FF6D28D9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left" vertical="center" wrapText="1"/>
    </xf>
    <xf numFmtId="9" fontId="4" fillId="4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left" vertical="center" wrapText="1"/>
    </xf>
    <xf numFmtId="9" fontId="4" fillId="5" borderId="1" xfId="0" applyNumberFormat="1" applyFont="1" applyFill="1" applyBorder="1" applyAlignment="1">
      <alignment horizontal="left" vertical="center" wrapText="1"/>
    </xf>
    <xf numFmtId="3" fontId="6" fillId="5" borderId="1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left" vertical="center" wrapText="1"/>
    </xf>
    <xf numFmtId="4" fontId="4" fillId="4" borderId="1" xfId="0" applyNumberFormat="1" applyFont="1" applyFill="1" applyBorder="1" applyAlignment="1">
      <alignment horizontal="left" vertical="center" wrapText="1"/>
    </xf>
    <xf numFmtId="1" fontId="4" fillId="5" borderId="1" xfId="0" applyNumberFormat="1" applyFont="1" applyFill="1" applyBorder="1" applyAlignment="1">
      <alignment horizontal="left" vertical="center" wrapText="1"/>
    </xf>
    <xf numFmtId="4" fontId="4" fillId="5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164" fontId="7" fillId="0" borderId="1" xfId="0" applyNumberFormat="1" applyFont="1" applyBorder="1"/>
    <xf numFmtId="0" fontId="3" fillId="8" borderId="1" xfId="0" applyFont="1" applyFill="1" applyBorder="1" applyAlignment="1">
      <alignment horizontal="center" vertical="center" wrapText="1"/>
    </xf>
    <xf numFmtId="3" fontId="8" fillId="9" borderId="1" xfId="0" applyNumberFormat="1" applyFont="1" applyFill="1" applyBorder="1"/>
    <xf numFmtId="9" fontId="8" fillId="9" borderId="1" xfId="0" applyNumberFormat="1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5" fillId="4" borderId="1" xfId="0" applyFont="1" applyFill="1" applyBorder="1"/>
    <xf numFmtId="0" fontId="0" fillId="0" borderId="2" xfId="0" applyBorder="1"/>
    <xf numFmtId="0" fontId="0" fillId="0" borderId="3" xfId="0" applyBorder="1"/>
    <xf numFmtId="0" fontId="3" fillId="6" borderId="0" xfId="0" applyFont="1" applyFill="1"/>
    <xf numFmtId="0" fontId="0" fillId="0" borderId="0" xfId="0"/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" fillId="8" borderId="0" xfId="0" applyFont="1" applyFill="1"/>
    <xf numFmtId="0" fontId="2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showGridLines="0" workbookViewId="0">
      <selection activeCell="D10" sqref="D10"/>
    </sheetView>
  </sheetViews>
  <sheetFormatPr defaultRowHeight="14.4" x14ac:dyDescent="0.3"/>
  <cols>
    <col min="1" max="1" width="9" customWidth="1"/>
    <col min="2" max="2" width="18" customWidth="1"/>
    <col min="3" max="3" width="14" customWidth="1"/>
    <col min="4" max="4" width="12" customWidth="1"/>
    <col min="5" max="5" width="13" customWidth="1"/>
    <col min="6" max="6" width="16" customWidth="1"/>
    <col min="7" max="7" width="18" customWidth="1"/>
    <col min="8" max="8" width="14" customWidth="1"/>
    <col min="9" max="9" width="18" customWidth="1"/>
  </cols>
  <sheetData>
    <row r="1" spans="1:9" ht="19.95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9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9.95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>
        <v>45</v>
      </c>
      <c r="F3" s="3">
        <v>1200</v>
      </c>
      <c r="G3" s="3">
        <f t="shared" ref="G3:G22" si="0">E3*F3</f>
        <v>54000</v>
      </c>
      <c r="H3" s="4">
        <f t="shared" ref="H3:H22" si="1">IF(E3&gt;50,10%,5%)</f>
        <v>0.05</v>
      </c>
      <c r="I3" s="3">
        <f t="shared" ref="I3:I22" si="2">G3*H3</f>
        <v>2700</v>
      </c>
    </row>
    <row r="4" spans="1:9" ht="19.95" customHeight="1" x14ac:dyDescent="0.3">
      <c r="A4" s="5" t="s">
        <v>14</v>
      </c>
      <c r="B4" s="5" t="s">
        <v>15</v>
      </c>
      <c r="C4" s="5" t="s">
        <v>16</v>
      </c>
      <c r="D4" s="5" t="s">
        <v>13</v>
      </c>
      <c r="E4" s="5">
        <v>30</v>
      </c>
      <c r="F4" s="6">
        <v>1500</v>
      </c>
      <c r="G4" s="6">
        <f t="shared" si="0"/>
        <v>45000</v>
      </c>
      <c r="H4" s="7">
        <f t="shared" si="1"/>
        <v>0.05</v>
      </c>
      <c r="I4" s="6">
        <f t="shared" si="2"/>
        <v>2250</v>
      </c>
    </row>
    <row r="5" spans="1:9" ht="19.95" customHeight="1" x14ac:dyDescent="0.3">
      <c r="A5" s="2" t="s">
        <v>17</v>
      </c>
      <c r="B5" s="2" t="s">
        <v>18</v>
      </c>
      <c r="C5" s="2" t="s">
        <v>12</v>
      </c>
      <c r="D5" s="2" t="s">
        <v>13</v>
      </c>
      <c r="E5" s="2">
        <v>62</v>
      </c>
      <c r="F5" s="3">
        <v>1200</v>
      </c>
      <c r="G5" s="3">
        <f t="shared" si="0"/>
        <v>74400</v>
      </c>
      <c r="H5" s="4">
        <f t="shared" si="1"/>
        <v>0.1</v>
      </c>
      <c r="I5" s="3">
        <f t="shared" si="2"/>
        <v>7440</v>
      </c>
    </row>
    <row r="6" spans="1:9" ht="19.95" customHeight="1" x14ac:dyDescent="0.3">
      <c r="A6" s="5" t="s">
        <v>19</v>
      </c>
      <c r="B6" s="5" t="s">
        <v>20</v>
      </c>
      <c r="C6" s="5" t="s">
        <v>21</v>
      </c>
      <c r="D6" s="5" t="s">
        <v>13</v>
      </c>
      <c r="E6" s="5">
        <v>15</v>
      </c>
      <c r="F6" s="6">
        <v>2000</v>
      </c>
      <c r="G6" s="6">
        <f t="shared" si="0"/>
        <v>30000</v>
      </c>
      <c r="H6" s="7">
        <f t="shared" si="1"/>
        <v>0.05</v>
      </c>
      <c r="I6" s="6">
        <f t="shared" si="2"/>
        <v>1500</v>
      </c>
    </row>
    <row r="7" spans="1:9" ht="19.95" customHeight="1" x14ac:dyDescent="0.3">
      <c r="A7" s="2" t="s">
        <v>22</v>
      </c>
      <c r="B7" s="2" t="s">
        <v>23</v>
      </c>
      <c r="C7" s="2" t="s">
        <v>16</v>
      </c>
      <c r="D7" s="2" t="s">
        <v>13</v>
      </c>
      <c r="E7" s="2">
        <v>28</v>
      </c>
      <c r="F7" s="3">
        <v>1500</v>
      </c>
      <c r="G7" s="3">
        <f t="shared" si="0"/>
        <v>42000</v>
      </c>
      <c r="H7" s="4">
        <f t="shared" si="1"/>
        <v>0.05</v>
      </c>
      <c r="I7" s="3">
        <f t="shared" si="2"/>
        <v>2100</v>
      </c>
    </row>
    <row r="8" spans="1:9" ht="19.95" customHeight="1" x14ac:dyDescent="0.3">
      <c r="A8" s="5" t="s">
        <v>24</v>
      </c>
      <c r="B8" s="5" t="s">
        <v>11</v>
      </c>
      <c r="C8" s="5" t="s">
        <v>12</v>
      </c>
      <c r="D8" s="5" t="s">
        <v>25</v>
      </c>
      <c r="E8" s="5">
        <v>52</v>
      </c>
      <c r="F8" s="6">
        <v>1200</v>
      </c>
      <c r="G8" s="6">
        <f t="shared" si="0"/>
        <v>62400</v>
      </c>
      <c r="H8" s="7">
        <f t="shared" si="1"/>
        <v>0.1</v>
      </c>
      <c r="I8" s="6">
        <f t="shared" si="2"/>
        <v>6240</v>
      </c>
    </row>
    <row r="9" spans="1:9" ht="19.95" customHeight="1" x14ac:dyDescent="0.3">
      <c r="A9" s="2" t="s">
        <v>26</v>
      </c>
      <c r="B9" s="2" t="s">
        <v>15</v>
      </c>
      <c r="C9" s="2" t="s">
        <v>16</v>
      </c>
      <c r="D9" s="2" t="s">
        <v>25</v>
      </c>
      <c r="E9" s="2">
        <v>35</v>
      </c>
      <c r="F9" s="3">
        <v>1500</v>
      </c>
      <c r="G9" s="3">
        <f t="shared" si="0"/>
        <v>52500</v>
      </c>
      <c r="H9" s="4">
        <f t="shared" si="1"/>
        <v>0.05</v>
      </c>
      <c r="I9" s="3">
        <f t="shared" si="2"/>
        <v>2625</v>
      </c>
    </row>
    <row r="10" spans="1:9" ht="19.95" customHeight="1" x14ac:dyDescent="0.3">
      <c r="A10" s="5" t="s">
        <v>27</v>
      </c>
      <c r="B10" s="5" t="s">
        <v>18</v>
      </c>
      <c r="C10" s="5" t="s">
        <v>12</v>
      </c>
      <c r="D10" s="5" t="s">
        <v>25</v>
      </c>
      <c r="E10" s="5">
        <v>70</v>
      </c>
      <c r="F10" s="6">
        <v>1200</v>
      </c>
      <c r="G10" s="6">
        <f t="shared" si="0"/>
        <v>84000</v>
      </c>
      <c r="H10" s="7">
        <f t="shared" si="1"/>
        <v>0.1</v>
      </c>
      <c r="I10" s="6">
        <f t="shared" si="2"/>
        <v>8400</v>
      </c>
    </row>
    <row r="11" spans="1:9" ht="19.95" customHeight="1" x14ac:dyDescent="0.3">
      <c r="A11" s="2" t="s">
        <v>28</v>
      </c>
      <c r="B11" s="2" t="s">
        <v>20</v>
      </c>
      <c r="C11" s="2" t="s">
        <v>21</v>
      </c>
      <c r="D11" s="2" t="s">
        <v>25</v>
      </c>
      <c r="E11" s="2">
        <v>18</v>
      </c>
      <c r="F11" s="3">
        <v>2000</v>
      </c>
      <c r="G11" s="3">
        <f t="shared" si="0"/>
        <v>36000</v>
      </c>
      <c r="H11" s="4">
        <f t="shared" si="1"/>
        <v>0.05</v>
      </c>
      <c r="I11" s="3">
        <f t="shared" si="2"/>
        <v>1800</v>
      </c>
    </row>
    <row r="12" spans="1:9" ht="19.95" customHeight="1" x14ac:dyDescent="0.3">
      <c r="A12" s="5" t="s">
        <v>29</v>
      </c>
      <c r="B12" s="5" t="s">
        <v>23</v>
      </c>
      <c r="C12" s="5" t="s">
        <v>16</v>
      </c>
      <c r="D12" s="5" t="s">
        <v>25</v>
      </c>
      <c r="E12" s="5">
        <v>22</v>
      </c>
      <c r="F12" s="6">
        <v>1500</v>
      </c>
      <c r="G12" s="6">
        <f t="shared" si="0"/>
        <v>33000</v>
      </c>
      <c r="H12" s="7">
        <f t="shared" si="1"/>
        <v>0.05</v>
      </c>
      <c r="I12" s="6">
        <f t="shared" si="2"/>
        <v>1650</v>
      </c>
    </row>
    <row r="13" spans="1:9" ht="19.95" customHeight="1" x14ac:dyDescent="0.3">
      <c r="A13" s="2" t="s">
        <v>30</v>
      </c>
      <c r="B13" s="2" t="s">
        <v>11</v>
      </c>
      <c r="C13" s="2" t="s">
        <v>12</v>
      </c>
      <c r="D13" s="2" t="s">
        <v>31</v>
      </c>
      <c r="E13" s="2">
        <v>48</v>
      </c>
      <c r="F13" s="3">
        <v>1200</v>
      </c>
      <c r="G13" s="3">
        <f t="shared" si="0"/>
        <v>57600</v>
      </c>
      <c r="H13" s="4">
        <f t="shared" si="1"/>
        <v>0.05</v>
      </c>
      <c r="I13" s="3">
        <f t="shared" si="2"/>
        <v>2880</v>
      </c>
    </row>
    <row r="14" spans="1:9" ht="19.95" customHeight="1" x14ac:dyDescent="0.3">
      <c r="A14" s="5" t="s">
        <v>32</v>
      </c>
      <c r="B14" s="5" t="s">
        <v>15</v>
      </c>
      <c r="C14" s="5" t="s">
        <v>16</v>
      </c>
      <c r="D14" s="5" t="s">
        <v>31</v>
      </c>
      <c r="E14" s="5">
        <v>40</v>
      </c>
      <c r="F14" s="6">
        <v>1500</v>
      </c>
      <c r="G14" s="6">
        <f t="shared" si="0"/>
        <v>60000</v>
      </c>
      <c r="H14" s="7">
        <f t="shared" si="1"/>
        <v>0.05</v>
      </c>
      <c r="I14" s="6">
        <f t="shared" si="2"/>
        <v>3000</v>
      </c>
    </row>
    <row r="15" spans="1:9" ht="19.95" customHeight="1" x14ac:dyDescent="0.3">
      <c r="A15" s="2" t="s">
        <v>33</v>
      </c>
      <c r="B15" s="2" t="s">
        <v>18</v>
      </c>
      <c r="C15" s="2" t="s">
        <v>12</v>
      </c>
      <c r="D15" s="2" t="s">
        <v>31</v>
      </c>
      <c r="E15" s="2">
        <v>75</v>
      </c>
      <c r="F15" s="3">
        <v>1200</v>
      </c>
      <c r="G15" s="3">
        <f t="shared" si="0"/>
        <v>90000</v>
      </c>
      <c r="H15" s="4">
        <f t="shared" si="1"/>
        <v>0.1</v>
      </c>
      <c r="I15" s="3">
        <f t="shared" si="2"/>
        <v>9000</v>
      </c>
    </row>
    <row r="16" spans="1:9" ht="19.95" customHeight="1" x14ac:dyDescent="0.3">
      <c r="A16" s="5" t="s">
        <v>34</v>
      </c>
      <c r="B16" s="5" t="s">
        <v>20</v>
      </c>
      <c r="C16" s="5" t="s">
        <v>21</v>
      </c>
      <c r="D16" s="5" t="s">
        <v>31</v>
      </c>
      <c r="E16" s="5">
        <v>25</v>
      </c>
      <c r="F16" s="6">
        <v>2000</v>
      </c>
      <c r="G16" s="6">
        <f t="shared" si="0"/>
        <v>50000</v>
      </c>
      <c r="H16" s="7">
        <f t="shared" si="1"/>
        <v>0.05</v>
      </c>
      <c r="I16" s="6">
        <f t="shared" si="2"/>
        <v>2500</v>
      </c>
    </row>
    <row r="17" spans="1:9" ht="19.95" customHeight="1" x14ac:dyDescent="0.3">
      <c r="A17" s="2" t="s">
        <v>35</v>
      </c>
      <c r="B17" s="2" t="s">
        <v>23</v>
      </c>
      <c r="C17" s="2" t="s">
        <v>16</v>
      </c>
      <c r="D17" s="2" t="s">
        <v>31</v>
      </c>
      <c r="E17" s="2">
        <v>32</v>
      </c>
      <c r="F17" s="3">
        <v>1500</v>
      </c>
      <c r="G17" s="3">
        <f t="shared" si="0"/>
        <v>48000</v>
      </c>
      <c r="H17" s="4">
        <f t="shared" si="1"/>
        <v>0.05</v>
      </c>
      <c r="I17" s="3">
        <f t="shared" si="2"/>
        <v>2400</v>
      </c>
    </row>
    <row r="18" spans="1:9" ht="19.95" customHeight="1" x14ac:dyDescent="0.3">
      <c r="A18" s="5" t="s">
        <v>36</v>
      </c>
      <c r="B18" s="5" t="s">
        <v>11</v>
      </c>
      <c r="C18" s="5" t="s">
        <v>12</v>
      </c>
      <c r="D18" s="5" t="s">
        <v>37</v>
      </c>
      <c r="E18" s="5">
        <v>55</v>
      </c>
      <c r="F18" s="6">
        <v>1200</v>
      </c>
      <c r="G18" s="6">
        <f t="shared" si="0"/>
        <v>66000</v>
      </c>
      <c r="H18" s="7">
        <f t="shared" si="1"/>
        <v>0.1</v>
      </c>
      <c r="I18" s="6">
        <f t="shared" si="2"/>
        <v>6600</v>
      </c>
    </row>
    <row r="19" spans="1:9" ht="19.95" customHeight="1" x14ac:dyDescent="0.3">
      <c r="A19" s="2" t="s">
        <v>38</v>
      </c>
      <c r="B19" s="2" t="s">
        <v>15</v>
      </c>
      <c r="C19" s="2" t="s">
        <v>16</v>
      </c>
      <c r="D19" s="2" t="s">
        <v>37</v>
      </c>
      <c r="E19" s="2">
        <v>38</v>
      </c>
      <c r="F19" s="3">
        <v>1500</v>
      </c>
      <c r="G19" s="3">
        <f t="shared" si="0"/>
        <v>57000</v>
      </c>
      <c r="H19" s="4">
        <f t="shared" si="1"/>
        <v>0.05</v>
      </c>
      <c r="I19" s="3">
        <f t="shared" si="2"/>
        <v>2850</v>
      </c>
    </row>
    <row r="20" spans="1:9" ht="19.95" customHeight="1" x14ac:dyDescent="0.3">
      <c r="A20" s="5" t="s">
        <v>39</v>
      </c>
      <c r="B20" s="5" t="s">
        <v>18</v>
      </c>
      <c r="C20" s="5" t="s">
        <v>12</v>
      </c>
      <c r="D20" s="5" t="s">
        <v>37</v>
      </c>
      <c r="E20" s="5">
        <v>80</v>
      </c>
      <c r="F20" s="6">
        <v>1200</v>
      </c>
      <c r="G20" s="6">
        <f t="shared" si="0"/>
        <v>96000</v>
      </c>
      <c r="H20" s="7">
        <f t="shared" si="1"/>
        <v>0.1</v>
      </c>
      <c r="I20" s="6">
        <f t="shared" si="2"/>
        <v>9600</v>
      </c>
    </row>
    <row r="21" spans="1:9" ht="19.95" customHeight="1" x14ac:dyDescent="0.3">
      <c r="A21" s="2" t="s">
        <v>40</v>
      </c>
      <c r="B21" s="2" t="s">
        <v>20</v>
      </c>
      <c r="C21" s="2" t="s">
        <v>21</v>
      </c>
      <c r="D21" s="2" t="s">
        <v>37</v>
      </c>
      <c r="E21" s="2">
        <v>20</v>
      </c>
      <c r="F21" s="3">
        <v>2000</v>
      </c>
      <c r="G21" s="3">
        <f t="shared" si="0"/>
        <v>40000</v>
      </c>
      <c r="H21" s="4">
        <f t="shared" si="1"/>
        <v>0.05</v>
      </c>
      <c r="I21" s="3">
        <f t="shared" si="2"/>
        <v>2000</v>
      </c>
    </row>
    <row r="22" spans="1:9" ht="19.95" customHeight="1" x14ac:dyDescent="0.3">
      <c r="A22" s="5" t="s">
        <v>41</v>
      </c>
      <c r="B22" s="5" t="s">
        <v>23</v>
      </c>
      <c r="C22" s="5" t="s">
        <v>16</v>
      </c>
      <c r="D22" s="5" t="s">
        <v>37</v>
      </c>
      <c r="E22" s="5">
        <v>27</v>
      </c>
      <c r="F22" s="6">
        <v>1500</v>
      </c>
      <c r="G22" s="6">
        <f t="shared" si="0"/>
        <v>40500</v>
      </c>
      <c r="H22" s="7">
        <f t="shared" si="1"/>
        <v>0.05</v>
      </c>
      <c r="I22" s="6">
        <f t="shared" si="2"/>
        <v>2025</v>
      </c>
    </row>
    <row r="24" spans="1:9" x14ac:dyDescent="0.3">
      <c r="A24" s="26" t="s">
        <v>42</v>
      </c>
      <c r="B24" s="27"/>
      <c r="C24" s="27"/>
      <c r="D24" s="27"/>
    </row>
    <row r="25" spans="1:9" x14ac:dyDescent="0.3">
      <c r="A25" s="23" t="s">
        <v>43</v>
      </c>
      <c r="B25" s="24"/>
      <c r="C25" s="24"/>
      <c r="D25" s="25"/>
      <c r="E25" s="8">
        <f>SUM(E3:E22)</f>
        <v>817</v>
      </c>
    </row>
    <row r="26" spans="1:9" x14ac:dyDescent="0.3">
      <c r="A26" s="23" t="s">
        <v>44</v>
      </c>
      <c r="B26" s="24"/>
      <c r="C26" s="24"/>
      <c r="D26" s="25"/>
      <c r="E26" s="8">
        <f>SUM(G3:G22)</f>
        <v>1118400</v>
      </c>
    </row>
    <row r="27" spans="1:9" x14ac:dyDescent="0.3">
      <c r="A27" s="23" t="s">
        <v>45</v>
      </c>
      <c r="B27" s="24"/>
      <c r="C27" s="24"/>
      <c r="D27" s="25"/>
      <c r="E27" s="8">
        <f>AVERAGE(E3:E22)</f>
        <v>40.85</v>
      </c>
    </row>
    <row r="28" spans="1:9" x14ac:dyDescent="0.3">
      <c r="A28" s="23" t="s">
        <v>46</v>
      </c>
      <c r="B28" s="24"/>
      <c r="C28" s="24"/>
      <c r="D28" s="25"/>
      <c r="E28" s="8">
        <f>MAX(E3:E22)</f>
        <v>80</v>
      </c>
    </row>
    <row r="29" spans="1:9" x14ac:dyDescent="0.3">
      <c r="A29" s="23" t="s">
        <v>47</v>
      </c>
      <c r="B29" s="24"/>
      <c r="C29" s="24"/>
      <c r="D29" s="25"/>
      <c r="E29" s="8">
        <f>MIN(E3:E22)</f>
        <v>15</v>
      </c>
    </row>
    <row r="30" spans="1:9" x14ac:dyDescent="0.3">
      <c r="A30" s="23" t="s">
        <v>48</v>
      </c>
      <c r="B30" s="24"/>
      <c r="C30" s="24"/>
      <c r="D30" s="25"/>
      <c r="E30" s="8">
        <f>SUM(I3:I22)</f>
        <v>79560</v>
      </c>
    </row>
    <row r="31" spans="1:9" x14ac:dyDescent="0.3">
      <c r="A31" s="23" t="s">
        <v>49</v>
      </c>
      <c r="B31" s="24"/>
      <c r="C31" s="24"/>
      <c r="D31" s="25"/>
      <c r="E31" s="8">
        <f>SUMIF(C3:C22,"Sales",G3:G22)</f>
        <v>584400</v>
      </c>
    </row>
    <row r="32" spans="1:9" x14ac:dyDescent="0.3">
      <c r="A32" s="23" t="s">
        <v>50</v>
      </c>
      <c r="B32" s="24"/>
      <c r="C32" s="24"/>
      <c r="D32" s="25"/>
      <c r="E32" s="8">
        <f>COUNTIF(E3:E22,"&gt;50")</f>
        <v>6</v>
      </c>
    </row>
  </sheetData>
  <mergeCells count="10">
    <mergeCell ref="A1:I1"/>
    <mergeCell ref="A28:D28"/>
    <mergeCell ref="A24:D24"/>
    <mergeCell ref="A32:D32"/>
    <mergeCell ref="A27:D27"/>
    <mergeCell ref="A31:D31"/>
    <mergeCell ref="A26:D26"/>
    <mergeCell ref="A30:D30"/>
    <mergeCell ref="A25:D25"/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showGridLines="0" tabSelected="1" workbookViewId="0">
      <selection activeCell="N4" sqref="N4"/>
    </sheetView>
  </sheetViews>
  <sheetFormatPr defaultRowHeight="14.4" x14ac:dyDescent="0.3"/>
  <cols>
    <col min="1" max="1" width="10" customWidth="1"/>
    <col min="2" max="2" width="12" customWidth="1"/>
    <col min="3" max="4" width="18" customWidth="1"/>
    <col min="5" max="5" width="14" customWidth="1"/>
    <col min="6" max="6" width="10" customWidth="1"/>
    <col min="7" max="8" width="12" customWidth="1"/>
    <col min="9" max="9" width="16" customWidth="1"/>
    <col min="10" max="10" width="12" customWidth="1"/>
  </cols>
  <sheetData>
    <row r="1" spans="1:15" x14ac:dyDescent="0.3">
      <c r="A1" s="22" t="s">
        <v>51</v>
      </c>
      <c r="B1" s="22"/>
      <c r="C1" s="22"/>
      <c r="D1" s="22"/>
      <c r="E1" s="22"/>
      <c r="F1" s="22"/>
      <c r="G1" s="22"/>
      <c r="H1" s="22"/>
      <c r="I1" s="22"/>
      <c r="J1" s="22"/>
    </row>
    <row r="2" spans="1:15" ht="30" customHeight="1" x14ac:dyDescent="0.3">
      <c r="A2" s="9" t="s">
        <v>52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9" t="s">
        <v>59</v>
      </c>
      <c r="I2" s="9" t="s">
        <v>60</v>
      </c>
      <c r="J2" s="9" t="s">
        <v>61</v>
      </c>
    </row>
    <row r="3" spans="1:15" ht="19.95" customHeight="1" x14ac:dyDescent="0.3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s="2">
        <v>2</v>
      </c>
      <c r="G3" s="3">
        <v>15000</v>
      </c>
      <c r="H3" s="10">
        <v>10</v>
      </c>
      <c r="I3" s="11">
        <f t="shared" ref="I3:I22" si="0">F3*G3*(1-H3/100)</f>
        <v>27000</v>
      </c>
      <c r="J3" s="2" t="s">
        <v>67</v>
      </c>
      <c r="M3" s="33"/>
      <c r="N3" s="33"/>
      <c r="O3" s="33"/>
    </row>
    <row r="4" spans="1:15" ht="19.95" customHeight="1" x14ac:dyDescent="0.3">
      <c r="A4" s="5" t="s">
        <v>68</v>
      </c>
      <c r="B4" s="5" t="s">
        <v>69</v>
      </c>
      <c r="C4" s="5" t="s">
        <v>70</v>
      </c>
      <c r="D4" s="5" t="s">
        <v>71</v>
      </c>
      <c r="E4" s="5" t="s">
        <v>72</v>
      </c>
      <c r="F4" s="5">
        <v>5</v>
      </c>
      <c r="G4" s="6">
        <v>800</v>
      </c>
      <c r="H4" s="12">
        <v>5</v>
      </c>
      <c r="I4" s="13">
        <f t="shared" si="0"/>
        <v>3800</v>
      </c>
      <c r="J4" s="5" t="s">
        <v>67</v>
      </c>
      <c r="M4" s="34"/>
      <c r="N4" s="34"/>
      <c r="O4" s="34"/>
    </row>
    <row r="5" spans="1:15" ht="19.95" customHeight="1" x14ac:dyDescent="0.3">
      <c r="A5" s="2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3">
        <v>250</v>
      </c>
      <c r="H5" s="10">
        <v>0</v>
      </c>
      <c r="I5" s="11">
        <f t="shared" si="0"/>
        <v>750</v>
      </c>
      <c r="J5" s="2" t="s">
        <v>79</v>
      </c>
      <c r="M5" s="34"/>
      <c r="N5" s="34"/>
      <c r="O5" s="34"/>
    </row>
    <row r="6" spans="1:15" ht="19.95" customHeight="1" x14ac:dyDescent="0.3">
      <c r="A6" s="5" t="s">
        <v>80</v>
      </c>
      <c r="B6" s="5" t="s">
        <v>81</v>
      </c>
      <c r="C6" s="5" t="s">
        <v>82</v>
      </c>
      <c r="D6" s="5" t="s">
        <v>83</v>
      </c>
      <c r="E6" s="5" t="s">
        <v>66</v>
      </c>
      <c r="F6" s="5">
        <v>1</v>
      </c>
      <c r="G6" s="6">
        <v>25000</v>
      </c>
      <c r="H6" s="12">
        <v>15</v>
      </c>
      <c r="I6" s="13">
        <f t="shared" si="0"/>
        <v>21250</v>
      </c>
      <c r="J6" s="5" t="s">
        <v>67</v>
      </c>
    </row>
    <row r="7" spans="1:15" ht="19.95" customHeight="1" x14ac:dyDescent="0.3">
      <c r="A7" s="2" t="s">
        <v>84</v>
      </c>
      <c r="B7" s="2" t="s">
        <v>85</v>
      </c>
      <c r="C7" s="2" t="s">
        <v>86</v>
      </c>
      <c r="D7" s="2" t="s">
        <v>87</v>
      </c>
      <c r="E7" s="2" t="s">
        <v>72</v>
      </c>
      <c r="F7" s="2">
        <v>8</v>
      </c>
      <c r="G7" s="3">
        <v>500</v>
      </c>
      <c r="H7" s="10">
        <v>0</v>
      </c>
      <c r="I7" s="11">
        <f t="shared" si="0"/>
        <v>4000</v>
      </c>
      <c r="J7" s="2" t="s">
        <v>88</v>
      </c>
    </row>
    <row r="8" spans="1:15" ht="19.95" customHeight="1" x14ac:dyDescent="0.3">
      <c r="A8" s="5" t="s">
        <v>89</v>
      </c>
      <c r="B8" s="5" t="s">
        <v>90</v>
      </c>
      <c r="C8" s="5" t="s">
        <v>64</v>
      </c>
      <c r="D8" s="5" t="s">
        <v>91</v>
      </c>
      <c r="E8" s="5" t="s">
        <v>77</v>
      </c>
      <c r="F8" s="5">
        <v>10</v>
      </c>
      <c r="G8" s="6">
        <v>150</v>
      </c>
      <c r="H8" s="12">
        <v>5</v>
      </c>
      <c r="I8" s="13">
        <f t="shared" si="0"/>
        <v>1425</v>
      </c>
      <c r="J8" s="5" t="s">
        <v>67</v>
      </c>
    </row>
    <row r="9" spans="1:15" ht="19.95" customHeight="1" x14ac:dyDescent="0.3">
      <c r="A9" s="2" t="s">
        <v>92</v>
      </c>
      <c r="B9" s="2" t="s">
        <v>93</v>
      </c>
      <c r="C9" s="2" t="s">
        <v>94</v>
      </c>
      <c r="D9" s="2" t="s">
        <v>65</v>
      </c>
      <c r="E9" s="2" t="s">
        <v>66</v>
      </c>
      <c r="F9" s="2">
        <v>1</v>
      </c>
      <c r="G9" s="3">
        <v>15000</v>
      </c>
      <c r="H9" s="10">
        <v>10</v>
      </c>
      <c r="I9" s="11">
        <f t="shared" si="0"/>
        <v>13500</v>
      </c>
      <c r="J9" s="2" t="s">
        <v>67</v>
      </c>
    </row>
    <row r="10" spans="1:15" ht="19.95" customHeight="1" x14ac:dyDescent="0.3">
      <c r="A10" s="5" t="s">
        <v>95</v>
      </c>
      <c r="B10" s="5" t="s">
        <v>96</v>
      </c>
      <c r="C10" s="5" t="s">
        <v>70</v>
      </c>
      <c r="D10" s="5" t="s">
        <v>97</v>
      </c>
      <c r="E10" s="5" t="s">
        <v>98</v>
      </c>
      <c r="F10" s="5">
        <v>1</v>
      </c>
      <c r="G10" s="6">
        <v>35000</v>
      </c>
      <c r="H10" s="12">
        <v>20</v>
      </c>
      <c r="I10" s="13">
        <f t="shared" si="0"/>
        <v>28000</v>
      </c>
      <c r="J10" s="5" t="s">
        <v>67</v>
      </c>
    </row>
    <row r="11" spans="1:15" ht="19.95" customHeight="1" x14ac:dyDescent="0.3">
      <c r="A11" s="2" t="s">
        <v>99</v>
      </c>
      <c r="B11" s="2" t="s">
        <v>100</v>
      </c>
      <c r="C11" s="2" t="s">
        <v>75</v>
      </c>
      <c r="D11" s="2" t="s">
        <v>71</v>
      </c>
      <c r="E11" s="2" t="s">
        <v>72</v>
      </c>
      <c r="F11" s="2">
        <v>3</v>
      </c>
      <c r="G11" s="3">
        <v>800</v>
      </c>
      <c r="H11" s="10">
        <v>0</v>
      </c>
      <c r="I11" s="11">
        <f t="shared" si="0"/>
        <v>2400</v>
      </c>
      <c r="J11" s="2" t="s">
        <v>79</v>
      </c>
    </row>
    <row r="12" spans="1:15" ht="19.95" customHeight="1" x14ac:dyDescent="0.3">
      <c r="A12" s="5" t="s">
        <v>101</v>
      </c>
      <c r="B12" s="5" t="s">
        <v>102</v>
      </c>
      <c r="C12" s="5" t="s">
        <v>82</v>
      </c>
      <c r="D12" s="5" t="s">
        <v>76</v>
      </c>
      <c r="E12" s="5" t="s">
        <v>77</v>
      </c>
      <c r="F12" s="5">
        <v>6</v>
      </c>
      <c r="G12" s="6">
        <v>250</v>
      </c>
      <c r="H12" s="12">
        <v>5</v>
      </c>
      <c r="I12" s="13">
        <f t="shared" si="0"/>
        <v>1425</v>
      </c>
      <c r="J12" s="5" t="s">
        <v>67</v>
      </c>
    </row>
    <row r="13" spans="1:15" ht="19.95" customHeight="1" x14ac:dyDescent="0.3">
      <c r="A13" s="2" t="s">
        <v>103</v>
      </c>
      <c r="B13" s="2" t="s">
        <v>104</v>
      </c>
      <c r="C13" s="2" t="s">
        <v>86</v>
      </c>
      <c r="D13" s="2" t="s">
        <v>105</v>
      </c>
      <c r="E13" s="2" t="s">
        <v>66</v>
      </c>
      <c r="F13" s="2">
        <v>2</v>
      </c>
      <c r="G13" s="3">
        <v>8000</v>
      </c>
      <c r="H13" s="10">
        <v>0</v>
      </c>
      <c r="I13" s="11">
        <f t="shared" si="0"/>
        <v>16000</v>
      </c>
      <c r="J13" s="2" t="s">
        <v>67</v>
      </c>
    </row>
    <row r="14" spans="1:15" ht="19.95" customHeight="1" x14ac:dyDescent="0.3">
      <c r="A14" s="5" t="s">
        <v>106</v>
      </c>
      <c r="B14" s="5" t="s">
        <v>107</v>
      </c>
      <c r="C14" s="5" t="s">
        <v>64</v>
      </c>
      <c r="D14" s="5" t="s">
        <v>83</v>
      </c>
      <c r="E14" s="5" t="s">
        <v>66</v>
      </c>
      <c r="F14" s="5">
        <v>1</v>
      </c>
      <c r="G14" s="6">
        <v>25000</v>
      </c>
      <c r="H14" s="12">
        <v>10</v>
      </c>
      <c r="I14" s="13">
        <f t="shared" si="0"/>
        <v>22500</v>
      </c>
      <c r="J14" s="5" t="s">
        <v>88</v>
      </c>
    </row>
    <row r="15" spans="1:15" ht="19.95" customHeight="1" x14ac:dyDescent="0.3">
      <c r="A15" s="2" t="s">
        <v>108</v>
      </c>
      <c r="B15" s="2" t="s">
        <v>109</v>
      </c>
      <c r="C15" s="2" t="s">
        <v>94</v>
      </c>
      <c r="D15" s="2" t="s">
        <v>87</v>
      </c>
      <c r="E15" s="2" t="s">
        <v>72</v>
      </c>
      <c r="F15" s="2">
        <v>4</v>
      </c>
      <c r="G15" s="3">
        <v>500</v>
      </c>
      <c r="H15" s="10">
        <v>5</v>
      </c>
      <c r="I15" s="11">
        <f t="shared" si="0"/>
        <v>1900</v>
      </c>
      <c r="J15" s="2" t="s">
        <v>67</v>
      </c>
    </row>
    <row r="16" spans="1:15" ht="19.95" customHeight="1" x14ac:dyDescent="0.3">
      <c r="A16" s="5" t="s">
        <v>110</v>
      </c>
      <c r="B16" s="5" t="s">
        <v>111</v>
      </c>
      <c r="C16" s="5" t="s">
        <v>70</v>
      </c>
      <c r="D16" s="5" t="s">
        <v>112</v>
      </c>
      <c r="E16" s="5" t="s">
        <v>77</v>
      </c>
      <c r="F16" s="5">
        <v>12</v>
      </c>
      <c r="G16" s="6">
        <v>100</v>
      </c>
      <c r="H16" s="12">
        <v>0</v>
      </c>
      <c r="I16" s="13">
        <f t="shared" si="0"/>
        <v>1200</v>
      </c>
      <c r="J16" s="5" t="s">
        <v>67</v>
      </c>
    </row>
    <row r="17" spans="1:10" ht="19.95" customHeight="1" x14ac:dyDescent="0.3">
      <c r="A17" s="2" t="s">
        <v>113</v>
      </c>
      <c r="B17" s="2" t="s">
        <v>114</v>
      </c>
      <c r="C17" s="2" t="s">
        <v>75</v>
      </c>
      <c r="D17" s="2" t="s">
        <v>97</v>
      </c>
      <c r="E17" s="2" t="s">
        <v>98</v>
      </c>
      <c r="F17" s="2">
        <v>2</v>
      </c>
      <c r="G17" s="3">
        <v>35000</v>
      </c>
      <c r="H17" s="10">
        <v>15</v>
      </c>
      <c r="I17" s="11">
        <f t="shared" si="0"/>
        <v>59500</v>
      </c>
      <c r="J17" s="2" t="s">
        <v>79</v>
      </c>
    </row>
    <row r="18" spans="1:10" ht="19.95" customHeight="1" x14ac:dyDescent="0.3">
      <c r="A18" s="5" t="s">
        <v>115</v>
      </c>
      <c r="B18" s="5" t="s">
        <v>116</v>
      </c>
      <c r="C18" s="5" t="s">
        <v>82</v>
      </c>
      <c r="D18" s="5" t="s">
        <v>117</v>
      </c>
      <c r="E18" s="5" t="s">
        <v>72</v>
      </c>
      <c r="F18" s="5">
        <v>6</v>
      </c>
      <c r="G18" s="6">
        <v>1200</v>
      </c>
      <c r="H18" s="12">
        <v>10</v>
      </c>
      <c r="I18" s="13">
        <f t="shared" si="0"/>
        <v>6480</v>
      </c>
      <c r="J18" s="5" t="s">
        <v>67</v>
      </c>
    </row>
    <row r="19" spans="1:10" ht="19.95" customHeight="1" x14ac:dyDescent="0.3">
      <c r="A19" s="2" t="s">
        <v>118</v>
      </c>
      <c r="B19" s="2" t="s">
        <v>119</v>
      </c>
      <c r="C19" s="2" t="s">
        <v>86</v>
      </c>
      <c r="D19" s="2" t="s">
        <v>65</v>
      </c>
      <c r="E19" s="2" t="s">
        <v>66</v>
      </c>
      <c r="F19" s="2">
        <v>1</v>
      </c>
      <c r="G19" s="3">
        <v>15000</v>
      </c>
      <c r="H19" s="10">
        <v>5</v>
      </c>
      <c r="I19" s="11">
        <f t="shared" si="0"/>
        <v>14250</v>
      </c>
      <c r="J19" s="2" t="s">
        <v>67</v>
      </c>
    </row>
    <row r="20" spans="1:10" ht="19.95" customHeight="1" x14ac:dyDescent="0.3">
      <c r="A20" s="5" t="s">
        <v>120</v>
      </c>
      <c r="B20" s="5" t="s">
        <v>121</v>
      </c>
      <c r="C20" s="5" t="s">
        <v>64</v>
      </c>
      <c r="D20" s="5" t="s">
        <v>91</v>
      </c>
      <c r="E20" s="5" t="s">
        <v>77</v>
      </c>
      <c r="F20" s="5">
        <v>20</v>
      </c>
      <c r="G20" s="6">
        <v>150</v>
      </c>
      <c r="H20" s="12">
        <v>0</v>
      </c>
      <c r="I20" s="13">
        <f t="shared" si="0"/>
        <v>3000</v>
      </c>
      <c r="J20" s="5" t="s">
        <v>67</v>
      </c>
    </row>
    <row r="21" spans="1:10" ht="19.95" customHeight="1" x14ac:dyDescent="0.3">
      <c r="A21" s="2" t="s">
        <v>122</v>
      </c>
      <c r="B21" s="2" t="s">
        <v>123</v>
      </c>
      <c r="C21" s="2" t="s">
        <v>94</v>
      </c>
      <c r="D21" s="2" t="s">
        <v>105</v>
      </c>
      <c r="E21" s="2" t="s">
        <v>66</v>
      </c>
      <c r="F21" s="2">
        <v>3</v>
      </c>
      <c r="G21" s="3">
        <v>8000</v>
      </c>
      <c r="H21" s="10">
        <v>10</v>
      </c>
      <c r="I21" s="11">
        <f t="shared" si="0"/>
        <v>21600</v>
      </c>
      <c r="J21" s="2" t="s">
        <v>88</v>
      </c>
    </row>
    <row r="22" spans="1:10" ht="19.95" customHeight="1" x14ac:dyDescent="0.3">
      <c r="A22" s="5" t="s">
        <v>124</v>
      </c>
      <c r="B22" s="5" t="s">
        <v>125</v>
      </c>
      <c r="C22" s="5" t="s">
        <v>70</v>
      </c>
      <c r="D22" s="5" t="s">
        <v>117</v>
      </c>
      <c r="E22" s="5" t="s">
        <v>72</v>
      </c>
      <c r="F22" s="5">
        <v>2</v>
      </c>
      <c r="G22" s="6">
        <v>1200</v>
      </c>
      <c r="H22" s="12">
        <v>5</v>
      </c>
      <c r="I22" s="13">
        <f t="shared" si="0"/>
        <v>2280</v>
      </c>
      <c r="J22" s="5" t="s">
        <v>67</v>
      </c>
    </row>
    <row r="25" spans="1:10" ht="24" customHeight="1" x14ac:dyDescent="0.3">
      <c r="A25" s="28" t="s">
        <v>126</v>
      </c>
      <c r="B25" s="27"/>
      <c r="C25" s="27"/>
      <c r="D25" s="27"/>
    </row>
    <row r="26" spans="1:10" ht="27.6" x14ac:dyDescent="0.3">
      <c r="A26" s="9" t="s">
        <v>55</v>
      </c>
      <c r="B26" s="9" t="s">
        <v>127</v>
      </c>
      <c r="C26" s="9" t="s">
        <v>56</v>
      </c>
      <c r="D26" s="9" t="s">
        <v>128</v>
      </c>
    </row>
    <row r="27" spans="1:10" ht="26.4" x14ac:dyDescent="0.3">
      <c r="A27" s="2" t="s">
        <v>65</v>
      </c>
      <c r="B27" s="2" t="s">
        <v>129</v>
      </c>
      <c r="C27" s="2" t="s">
        <v>66</v>
      </c>
      <c r="D27" s="2">
        <v>45</v>
      </c>
    </row>
    <row r="28" spans="1:10" x14ac:dyDescent="0.3">
      <c r="A28" s="5" t="s">
        <v>71</v>
      </c>
      <c r="B28" s="5" t="s">
        <v>130</v>
      </c>
      <c r="C28" s="5" t="s">
        <v>72</v>
      </c>
      <c r="D28" s="5">
        <v>120</v>
      </c>
    </row>
    <row r="29" spans="1:10" ht="26.4" x14ac:dyDescent="0.3">
      <c r="A29" s="2" t="s">
        <v>76</v>
      </c>
      <c r="B29" s="2" t="s">
        <v>131</v>
      </c>
      <c r="C29" s="2" t="s">
        <v>77</v>
      </c>
      <c r="D29" s="2">
        <v>300</v>
      </c>
    </row>
    <row r="30" spans="1:10" x14ac:dyDescent="0.3">
      <c r="A30" s="5" t="s">
        <v>83</v>
      </c>
      <c r="B30" s="5" t="s">
        <v>132</v>
      </c>
      <c r="C30" s="5" t="s">
        <v>66</v>
      </c>
      <c r="D30" s="5">
        <v>20</v>
      </c>
    </row>
    <row r="31" spans="1:10" x14ac:dyDescent="0.3">
      <c r="A31" s="2" t="s">
        <v>87</v>
      </c>
      <c r="B31" s="2" t="s">
        <v>133</v>
      </c>
      <c r="C31" s="2" t="s">
        <v>72</v>
      </c>
      <c r="D31" s="2">
        <v>200</v>
      </c>
    </row>
    <row r="32" spans="1:10" ht="26.4" x14ac:dyDescent="0.3">
      <c r="A32" s="5" t="s">
        <v>91</v>
      </c>
      <c r="B32" s="5" t="s">
        <v>134</v>
      </c>
      <c r="C32" s="5" t="s">
        <v>77</v>
      </c>
      <c r="D32" s="5">
        <v>500</v>
      </c>
    </row>
    <row r="33" spans="1:4" ht="26.4" x14ac:dyDescent="0.3">
      <c r="A33" s="2" t="s">
        <v>97</v>
      </c>
      <c r="B33" s="2" t="s">
        <v>135</v>
      </c>
      <c r="C33" s="2" t="s">
        <v>98</v>
      </c>
      <c r="D33" s="2">
        <v>10</v>
      </c>
    </row>
    <row r="34" spans="1:4" x14ac:dyDescent="0.3">
      <c r="A34" s="5" t="s">
        <v>105</v>
      </c>
      <c r="B34" s="5" t="s">
        <v>136</v>
      </c>
      <c r="C34" s="5" t="s">
        <v>66</v>
      </c>
      <c r="D34" s="5">
        <v>60</v>
      </c>
    </row>
    <row r="35" spans="1:4" x14ac:dyDescent="0.3">
      <c r="A35" s="2" t="s">
        <v>112</v>
      </c>
      <c r="B35" s="2" t="s">
        <v>137</v>
      </c>
      <c r="C35" s="2" t="s">
        <v>77</v>
      </c>
      <c r="D35" s="2">
        <v>80</v>
      </c>
    </row>
    <row r="36" spans="1:4" x14ac:dyDescent="0.3">
      <c r="A36" s="5" t="s">
        <v>117</v>
      </c>
      <c r="B36" s="5" t="s">
        <v>138</v>
      </c>
      <c r="C36" s="5" t="s">
        <v>72</v>
      </c>
      <c r="D36" s="5">
        <v>150</v>
      </c>
    </row>
  </sheetData>
  <mergeCells count="2">
    <mergeCell ref="A25:D25"/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showGridLines="0" workbookViewId="0">
      <selection sqref="A1:XFD1"/>
    </sheetView>
  </sheetViews>
  <sheetFormatPr defaultRowHeight="14.4" x14ac:dyDescent="0.3"/>
  <cols>
    <col min="1" max="1" width="11" customWidth="1"/>
    <col min="2" max="2" width="18" customWidth="1"/>
    <col min="3" max="3" width="8" customWidth="1"/>
    <col min="4" max="5" width="10" customWidth="1"/>
    <col min="6" max="6" width="9" customWidth="1"/>
    <col min="7" max="7" width="11" customWidth="1"/>
    <col min="8" max="8" width="8" customWidth="1"/>
    <col min="9" max="9" width="10" customWidth="1"/>
    <col min="10" max="10" width="8" customWidth="1"/>
    <col min="11" max="11" width="9" customWidth="1"/>
  </cols>
  <sheetData>
    <row r="1" spans="1:11" x14ac:dyDescent="0.3">
      <c r="A1" s="22" t="s">
        <v>139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30" customHeight="1" x14ac:dyDescent="0.3">
      <c r="A2" s="14" t="s">
        <v>140</v>
      </c>
      <c r="B2" s="14" t="s">
        <v>2</v>
      </c>
      <c r="C2" s="14" t="s">
        <v>141</v>
      </c>
      <c r="D2" s="14" t="s">
        <v>142</v>
      </c>
      <c r="E2" s="14" t="s">
        <v>143</v>
      </c>
      <c r="F2" s="14" t="s">
        <v>144</v>
      </c>
      <c r="G2" s="14" t="s">
        <v>145</v>
      </c>
      <c r="H2" s="14" t="s">
        <v>146</v>
      </c>
      <c r="I2" s="14" t="s">
        <v>147</v>
      </c>
      <c r="J2" s="14" t="s">
        <v>148</v>
      </c>
      <c r="K2" s="14" t="s">
        <v>149</v>
      </c>
    </row>
    <row r="3" spans="1:11" ht="19.95" customHeight="1" x14ac:dyDescent="0.3">
      <c r="A3" s="2" t="s">
        <v>150</v>
      </c>
      <c r="B3" s="2" t="s">
        <v>151</v>
      </c>
      <c r="C3" s="2">
        <v>85</v>
      </c>
      <c r="D3" s="2">
        <v>78</v>
      </c>
      <c r="E3" s="2">
        <v>90</v>
      </c>
      <c r="F3" s="2">
        <v>82</v>
      </c>
      <c r="G3" s="2">
        <v>88</v>
      </c>
      <c r="H3" s="2">
        <f t="shared" ref="H3:H17" si="0">SUM(C3:G3)</f>
        <v>423</v>
      </c>
      <c r="I3" s="15">
        <f t="shared" ref="I3:I17" si="1">AVERAGE(C3:G3)</f>
        <v>84.6</v>
      </c>
      <c r="J3" s="2" t="str">
        <f t="shared" ref="J3:J17" si="2">IF(I3&gt;=90,"A+",IF(I3&gt;=80,"A",IF(I3&gt;=70,"B",IF(I3&gt;=60,"C",IF(I3&gt;=50,"D","F")))))</f>
        <v>A</v>
      </c>
      <c r="K3" s="2" t="str">
        <f t="shared" ref="K3:K17" si="3">IF(AND(C3&gt;=40,D3&gt;=40,E3&gt;=40,F3&gt;=40,G3&gt;=40),"Pass","Fail")</f>
        <v>Pass</v>
      </c>
    </row>
    <row r="4" spans="1:11" ht="19.95" customHeight="1" x14ac:dyDescent="0.3">
      <c r="A4" s="5" t="s">
        <v>152</v>
      </c>
      <c r="B4" s="5" t="s">
        <v>153</v>
      </c>
      <c r="C4" s="5">
        <v>62</v>
      </c>
      <c r="D4" s="5">
        <v>55</v>
      </c>
      <c r="E4" s="5">
        <v>70</v>
      </c>
      <c r="F4" s="5">
        <v>65</v>
      </c>
      <c r="G4" s="5">
        <v>60</v>
      </c>
      <c r="H4" s="5">
        <f t="shared" si="0"/>
        <v>312</v>
      </c>
      <c r="I4" s="16">
        <f t="shared" si="1"/>
        <v>62.4</v>
      </c>
      <c r="J4" s="5" t="str">
        <f t="shared" si="2"/>
        <v>C</v>
      </c>
      <c r="K4" s="5" t="str">
        <f t="shared" si="3"/>
        <v>Pass</v>
      </c>
    </row>
    <row r="5" spans="1:11" ht="19.95" customHeight="1" x14ac:dyDescent="0.3">
      <c r="A5" s="2" t="s">
        <v>154</v>
      </c>
      <c r="B5" s="2" t="s">
        <v>155</v>
      </c>
      <c r="C5" s="2">
        <v>45</v>
      </c>
      <c r="D5" s="2">
        <v>50</v>
      </c>
      <c r="E5" s="2">
        <v>42</v>
      </c>
      <c r="F5" s="2">
        <v>48</v>
      </c>
      <c r="G5" s="2">
        <v>55</v>
      </c>
      <c r="H5" s="2">
        <f t="shared" si="0"/>
        <v>240</v>
      </c>
      <c r="I5" s="15">
        <f t="shared" si="1"/>
        <v>48</v>
      </c>
      <c r="J5" s="2" t="str">
        <f t="shared" si="2"/>
        <v>F</v>
      </c>
      <c r="K5" s="2" t="str">
        <f t="shared" si="3"/>
        <v>Pass</v>
      </c>
    </row>
    <row r="6" spans="1:11" ht="19.95" customHeight="1" x14ac:dyDescent="0.3">
      <c r="A6" s="5" t="s">
        <v>156</v>
      </c>
      <c r="B6" s="5" t="s">
        <v>157</v>
      </c>
      <c r="C6" s="5">
        <v>92</v>
      </c>
      <c r="D6" s="5">
        <v>95</v>
      </c>
      <c r="E6" s="5">
        <v>88</v>
      </c>
      <c r="F6" s="5">
        <v>90</v>
      </c>
      <c r="G6" s="5">
        <v>94</v>
      </c>
      <c r="H6" s="5">
        <f t="shared" si="0"/>
        <v>459</v>
      </c>
      <c r="I6" s="16">
        <f t="shared" si="1"/>
        <v>91.8</v>
      </c>
      <c r="J6" s="5" t="str">
        <f t="shared" si="2"/>
        <v>A+</v>
      </c>
      <c r="K6" s="5" t="str">
        <f t="shared" si="3"/>
        <v>Pass</v>
      </c>
    </row>
    <row r="7" spans="1:11" ht="19.95" customHeight="1" x14ac:dyDescent="0.3">
      <c r="A7" s="2" t="s">
        <v>158</v>
      </c>
      <c r="B7" s="2" t="s">
        <v>159</v>
      </c>
      <c r="C7" s="2">
        <v>72</v>
      </c>
      <c r="D7" s="2">
        <v>68</v>
      </c>
      <c r="E7" s="2">
        <v>75</v>
      </c>
      <c r="F7" s="2">
        <v>70</v>
      </c>
      <c r="G7" s="2">
        <v>65</v>
      </c>
      <c r="H7" s="2">
        <f t="shared" si="0"/>
        <v>350</v>
      </c>
      <c r="I7" s="15">
        <f t="shared" si="1"/>
        <v>70</v>
      </c>
      <c r="J7" s="2" t="str">
        <f t="shared" si="2"/>
        <v>B</v>
      </c>
      <c r="K7" s="2" t="str">
        <f t="shared" si="3"/>
        <v>Pass</v>
      </c>
    </row>
    <row r="8" spans="1:11" ht="19.95" customHeight="1" x14ac:dyDescent="0.3">
      <c r="A8" s="5" t="s">
        <v>160</v>
      </c>
      <c r="B8" s="5" t="s">
        <v>161</v>
      </c>
      <c r="C8" s="5">
        <v>38</v>
      </c>
      <c r="D8" s="5">
        <v>42</v>
      </c>
      <c r="E8" s="5">
        <v>35</v>
      </c>
      <c r="F8" s="5">
        <v>40</v>
      </c>
      <c r="G8" s="5">
        <v>45</v>
      </c>
      <c r="H8" s="5">
        <f t="shared" si="0"/>
        <v>200</v>
      </c>
      <c r="I8" s="16">
        <f t="shared" si="1"/>
        <v>40</v>
      </c>
      <c r="J8" s="5" t="str">
        <f t="shared" si="2"/>
        <v>F</v>
      </c>
      <c r="K8" s="5" t="str">
        <f t="shared" si="3"/>
        <v>Fail</v>
      </c>
    </row>
    <row r="9" spans="1:11" ht="19.95" customHeight="1" x14ac:dyDescent="0.3">
      <c r="A9" s="2" t="s">
        <v>162</v>
      </c>
      <c r="B9" s="2" t="s">
        <v>163</v>
      </c>
      <c r="C9" s="2">
        <v>80</v>
      </c>
      <c r="D9" s="2">
        <v>85</v>
      </c>
      <c r="E9" s="2">
        <v>78</v>
      </c>
      <c r="F9" s="2">
        <v>82</v>
      </c>
      <c r="G9" s="2">
        <v>88</v>
      </c>
      <c r="H9" s="2">
        <f t="shared" si="0"/>
        <v>413</v>
      </c>
      <c r="I9" s="15">
        <f t="shared" si="1"/>
        <v>82.6</v>
      </c>
      <c r="J9" s="2" t="str">
        <f t="shared" si="2"/>
        <v>A</v>
      </c>
      <c r="K9" s="2" t="str">
        <f t="shared" si="3"/>
        <v>Pass</v>
      </c>
    </row>
    <row r="10" spans="1:11" ht="19.95" customHeight="1" x14ac:dyDescent="0.3">
      <c r="A10" s="5" t="s">
        <v>164</v>
      </c>
      <c r="B10" s="5" t="s">
        <v>165</v>
      </c>
      <c r="C10" s="5">
        <v>55</v>
      </c>
      <c r="D10" s="5">
        <v>60</v>
      </c>
      <c r="E10" s="5">
        <v>58</v>
      </c>
      <c r="F10" s="5">
        <v>52</v>
      </c>
      <c r="G10" s="5">
        <v>62</v>
      </c>
      <c r="H10" s="5">
        <f t="shared" si="0"/>
        <v>287</v>
      </c>
      <c r="I10" s="16">
        <f t="shared" si="1"/>
        <v>57.4</v>
      </c>
      <c r="J10" s="5" t="str">
        <f t="shared" si="2"/>
        <v>D</v>
      </c>
      <c r="K10" s="5" t="str">
        <f t="shared" si="3"/>
        <v>Pass</v>
      </c>
    </row>
    <row r="11" spans="1:11" ht="19.95" customHeight="1" x14ac:dyDescent="0.3">
      <c r="A11" s="2" t="s">
        <v>166</v>
      </c>
      <c r="B11" s="2" t="s">
        <v>167</v>
      </c>
      <c r="C11" s="2">
        <v>95</v>
      </c>
      <c r="D11" s="2">
        <v>98</v>
      </c>
      <c r="E11" s="2">
        <v>92</v>
      </c>
      <c r="F11" s="2">
        <v>96</v>
      </c>
      <c r="G11" s="2">
        <v>99</v>
      </c>
      <c r="H11" s="2">
        <f t="shared" si="0"/>
        <v>480</v>
      </c>
      <c r="I11" s="15">
        <f t="shared" si="1"/>
        <v>96</v>
      </c>
      <c r="J11" s="2" t="str">
        <f t="shared" si="2"/>
        <v>A+</v>
      </c>
      <c r="K11" s="2" t="str">
        <f t="shared" si="3"/>
        <v>Pass</v>
      </c>
    </row>
    <row r="12" spans="1:11" ht="19.95" customHeight="1" x14ac:dyDescent="0.3">
      <c r="A12" s="5" t="s">
        <v>168</v>
      </c>
      <c r="B12" s="5" t="s">
        <v>169</v>
      </c>
      <c r="C12" s="5">
        <v>48</v>
      </c>
      <c r="D12" s="5">
        <v>45</v>
      </c>
      <c r="E12" s="5">
        <v>52</v>
      </c>
      <c r="F12" s="5">
        <v>50</v>
      </c>
      <c r="G12" s="5">
        <v>46</v>
      </c>
      <c r="H12" s="5">
        <f t="shared" si="0"/>
        <v>241</v>
      </c>
      <c r="I12" s="16">
        <f t="shared" si="1"/>
        <v>48.2</v>
      </c>
      <c r="J12" s="5" t="str">
        <f t="shared" si="2"/>
        <v>F</v>
      </c>
      <c r="K12" s="5" t="str">
        <f t="shared" si="3"/>
        <v>Pass</v>
      </c>
    </row>
    <row r="13" spans="1:11" ht="19.95" customHeight="1" x14ac:dyDescent="0.3">
      <c r="A13" s="2" t="s">
        <v>170</v>
      </c>
      <c r="B13" s="2" t="s">
        <v>171</v>
      </c>
      <c r="C13" s="2">
        <v>78</v>
      </c>
      <c r="D13" s="2">
        <v>72</v>
      </c>
      <c r="E13" s="2">
        <v>80</v>
      </c>
      <c r="F13" s="2">
        <v>76</v>
      </c>
      <c r="G13" s="2">
        <v>74</v>
      </c>
      <c r="H13" s="2">
        <f t="shared" si="0"/>
        <v>380</v>
      </c>
      <c r="I13" s="15">
        <f t="shared" si="1"/>
        <v>76</v>
      </c>
      <c r="J13" s="2" t="str">
        <f t="shared" si="2"/>
        <v>B</v>
      </c>
      <c r="K13" s="2" t="str">
        <f t="shared" si="3"/>
        <v>Pass</v>
      </c>
    </row>
    <row r="14" spans="1:11" ht="19.95" customHeight="1" x14ac:dyDescent="0.3">
      <c r="A14" s="5" t="s">
        <v>172</v>
      </c>
      <c r="B14" s="5" t="s">
        <v>173</v>
      </c>
      <c r="C14" s="5">
        <v>68</v>
      </c>
      <c r="D14" s="5">
        <v>65</v>
      </c>
      <c r="E14" s="5">
        <v>72</v>
      </c>
      <c r="F14" s="5">
        <v>70</v>
      </c>
      <c r="G14" s="5">
        <v>66</v>
      </c>
      <c r="H14" s="5">
        <f t="shared" si="0"/>
        <v>341</v>
      </c>
      <c r="I14" s="16">
        <f t="shared" si="1"/>
        <v>68.2</v>
      </c>
      <c r="J14" s="5" t="str">
        <f t="shared" si="2"/>
        <v>C</v>
      </c>
      <c r="K14" s="5" t="str">
        <f t="shared" si="3"/>
        <v>Pass</v>
      </c>
    </row>
    <row r="15" spans="1:11" ht="19.95" customHeight="1" x14ac:dyDescent="0.3">
      <c r="A15" s="2" t="s">
        <v>174</v>
      </c>
      <c r="B15" s="2" t="s">
        <v>175</v>
      </c>
      <c r="C15" s="2">
        <v>88</v>
      </c>
      <c r="D15" s="2">
        <v>84</v>
      </c>
      <c r="E15" s="2">
        <v>86</v>
      </c>
      <c r="F15" s="2">
        <v>90</v>
      </c>
      <c r="G15" s="2">
        <v>82</v>
      </c>
      <c r="H15" s="2">
        <f t="shared" si="0"/>
        <v>430</v>
      </c>
      <c r="I15" s="15">
        <f t="shared" si="1"/>
        <v>86</v>
      </c>
      <c r="J15" s="2" t="str">
        <f t="shared" si="2"/>
        <v>A</v>
      </c>
      <c r="K15" s="2" t="str">
        <f t="shared" si="3"/>
        <v>Pass</v>
      </c>
    </row>
    <row r="16" spans="1:11" ht="19.95" customHeight="1" x14ac:dyDescent="0.3">
      <c r="A16" s="5" t="s">
        <v>176</v>
      </c>
      <c r="B16" s="5" t="s">
        <v>177</v>
      </c>
      <c r="C16" s="5">
        <v>32</v>
      </c>
      <c r="D16" s="5">
        <v>40</v>
      </c>
      <c r="E16" s="5">
        <v>38</v>
      </c>
      <c r="F16" s="5">
        <v>35</v>
      </c>
      <c r="G16" s="5">
        <v>42</v>
      </c>
      <c r="H16" s="5">
        <f t="shared" si="0"/>
        <v>187</v>
      </c>
      <c r="I16" s="16">
        <f t="shared" si="1"/>
        <v>37.4</v>
      </c>
      <c r="J16" s="5" t="str">
        <f t="shared" si="2"/>
        <v>F</v>
      </c>
      <c r="K16" s="5" t="str">
        <f t="shared" si="3"/>
        <v>Fail</v>
      </c>
    </row>
    <row r="17" spans="1:11" ht="19.95" customHeight="1" x14ac:dyDescent="0.3">
      <c r="A17" s="2" t="s">
        <v>178</v>
      </c>
      <c r="B17" s="2" t="s">
        <v>179</v>
      </c>
      <c r="C17" s="2">
        <v>75</v>
      </c>
      <c r="D17" s="2">
        <v>70</v>
      </c>
      <c r="E17" s="2">
        <v>78</v>
      </c>
      <c r="F17" s="2">
        <v>72</v>
      </c>
      <c r="G17" s="2">
        <v>68</v>
      </c>
      <c r="H17" s="2">
        <f t="shared" si="0"/>
        <v>363</v>
      </c>
      <c r="I17" s="15">
        <f t="shared" si="1"/>
        <v>72.599999999999994</v>
      </c>
      <c r="J17" s="2" t="str">
        <f t="shared" si="2"/>
        <v>B</v>
      </c>
      <c r="K17" s="2" t="str">
        <f t="shared" si="3"/>
        <v>Pass</v>
      </c>
    </row>
    <row r="19" spans="1:11" ht="24" customHeight="1" x14ac:dyDescent="0.3">
      <c r="A19" s="29" t="s">
        <v>180</v>
      </c>
      <c r="B19" s="27"/>
      <c r="C19" s="27"/>
      <c r="D19" s="27"/>
      <c r="E19" s="27"/>
    </row>
    <row r="20" spans="1:11" x14ac:dyDescent="0.3">
      <c r="A20" s="23" t="s">
        <v>181</v>
      </c>
      <c r="B20" s="24"/>
      <c r="C20" s="24"/>
      <c r="D20" s="25"/>
      <c r="E20" s="17">
        <f>AVERAGE(I3:I17)</f>
        <v>68.08</v>
      </c>
    </row>
    <row r="21" spans="1:11" x14ac:dyDescent="0.3">
      <c r="A21" s="23" t="s">
        <v>182</v>
      </c>
      <c r="B21" s="24"/>
      <c r="C21" s="24"/>
      <c r="D21" s="25"/>
      <c r="E21" s="17">
        <f>MAX(H3:H17)</f>
        <v>480</v>
      </c>
    </row>
    <row r="22" spans="1:11" x14ac:dyDescent="0.3">
      <c r="A22" s="23" t="s">
        <v>183</v>
      </c>
      <c r="B22" s="24"/>
      <c r="C22" s="24"/>
      <c r="D22" s="25"/>
      <c r="E22" s="17">
        <f>MIN(H3:H17)</f>
        <v>187</v>
      </c>
    </row>
    <row r="23" spans="1:11" x14ac:dyDescent="0.3">
      <c r="A23" s="23" t="s">
        <v>184</v>
      </c>
      <c r="B23" s="24"/>
      <c r="C23" s="24"/>
      <c r="D23" s="25"/>
      <c r="E23" s="17">
        <f>COUNTIF(K3:K17,"Pass")</f>
        <v>13</v>
      </c>
    </row>
    <row r="24" spans="1:11" x14ac:dyDescent="0.3">
      <c r="A24" s="23" t="s">
        <v>185</v>
      </c>
      <c r="B24" s="24"/>
      <c r="C24" s="24"/>
      <c r="D24" s="25"/>
      <c r="E24" s="17">
        <f>COUNTIF(K3:K17,"Fail")</f>
        <v>2</v>
      </c>
    </row>
    <row r="25" spans="1:11" x14ac:dyDescent="0.3">
      <c r="A25" s="23" t="s">
        <v>186</v>
      </c>
      <c r="B25" s="24"/>
      <c r="C25" s="24"/>
      <c r="D25" s="25"/>
      <c r="E25" s="17">
        <f>COUNTIF(J3:J17,"A+")</f>
        <v>2</v>
      </c>
    </row>
    <row r="26" spans="1:11" x14ac:dyDescent="0.3">
      <c r="A26" s="23" t="s">
        <v>187</v>
      </c>
      <c r="B26" s="24"/>
      <c r="C26" s="24"/>
      <c r="D26" s="25"/>
      <c r="E26" s="17">
        <f>COUNTIF(J3:J17,"A")</f>
        <v>3</v>
      </c>
    </row>
    <row r="27" spans="1:11" x14ac:dyDescent="0.3">
      <c r="A27" s="23" t="s">
        <v>188</v>
      </c>
      <c r="B27" s="24"/>
      <c r="C27" s="24"/>
      <c r="D27" s="25"/>
      <c r="E27" s="17">
        <f>COUNTIF(J3:J17,"F")</f>
        <v>4</v>
      </c>
    </row>
  </sheetData>
  <mergeCells count="10">
    <mergeCell ref="A1:K1"/>
    <mergeCell ref="A24:D24"/>
    <mergeCell ref="A23:D23"/>
    <mergeCell ref="A27:D27"/>
    <mergeCell ref="A22:D22"/>
    <mergeCell ref="A26:D26"/>
    <mergeCell ref="A19:E19"/>
    <mergeCell ref="A21:D21"/>
    <mergeCell ref="A25:D25"/>
    <mergeCell ref="A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showGridLines="0" workbookViewId="0">
      <selection sqref="A1:XFD1"/>
    </sheetView>
  </sheetViews>
  <sheetFormatPr defaultRowHeight="14.4" x14ac:dyDescent="0.3"/>
  <cols>
    <col min="1" max="1" width="16" customWidth="1"/>
    <col min="2" max="2" width="22" customWidth="1"/>
    <col min="3" max="4" width="16" customWidth="1"/>
    <col min="5" max="5" width="14" customWidth="1"/>
    <col min="6" max="6" width="10" customWidth="1"/>
    <col min="7" max="7" width="18" customWidth="1"/>
    <col min="8" max="8" width="16" customWidth="1"/>
  </cols>
  <sheetData>
    <row r="1" spans="1:8" x14ac:dyDescent="0.3">
      <c r="A1" s="22" t="s">
        <v>189</v>
      </c>
      <c r="B1" s="22"/>
      <c r="C1" s="22"/>
      <c r="D1" s="22"/>
      <c r="E1" s="22"/>
      <c r="F1" s="22"/>
      <c r="G1" s="22"/>
      <c r="H1" s="22"/>
    </row>
    <row r="2" spans="1:8" ht="30" customHeight="1" x14ac:dyDescent="0.3">
      <c r="A2" s="18" t="s">
        <v>56</v>
      </c>
      <c r="B2" s="18" t="s">
        <v>190</v>
      </c>
      <c r="C2" s="18" t="s">
        <v>191</v>
      </c>
      <c r="D2" s="18" t="s">
        <v>192</v>
      </c>
      <c r="E2" s="18" t="s">
        <v>193</v>
      </c>
      <c r="F2" s="18" t="s">
        <v>194</v>
      </c>
      <c r="G2" s="18" t="s">
        <v>61</v>
      </c>
      <c r="H2" s="18" t="s">
        <v>195</v>
      </c>
    </row>
    <row r="3" spans="1:8" ht="19.95" customHeight="1" x14ac:dyDescent="0.3">
      <c r="A3" s="2" t="s">
        <v>77</v>
      </c>
      <c r="B3" s="2" t="s">
        <v>196</v>
      </c>
      <c r="C3" s="3">
        <v>15000</v>
      </c>
      <c r="D3" s="3">
        <v>14200</v>
      </c>
      <c r="E3" s="3">
        <f t="shared" ref="E3:E20" si="0">C3-D3</f>
        <v>800</v>
      </c>
      <c r="F3" s="4">
        <f t="shared" ref="F3:F21" si="1">D3/C3</f>
        <v>0.94666666666666666</v>
      </c>
      <c r="G3" s="2" t="str">
        <f t="shared" ref="G3:G20" si="2">IF(D3&gt;C3,"Over Budget",IF(D3=C3,"On Target","Under Budget"))</f>
        <v>Under Budget</v>
      </c>
      <c r="H3" s="2" t="str">
        <f t="shared" ref="H3:H20" si="3">IF(D3&gt;C3,"Reduce spending","Good")</f>
        <v>Good</v>
      </c>
    </row>
    <row r="4" spans="1:8" ht="19.95" customHeight="1" x14ac:dyDescent="0.3">
      <c r="A4" s="5" t="s">
        <v>77</v>
      </c>
      <c r="B4" s="5" t="s">
        <v>197</v>
      </c>
      <c r="C4" s="6">
        <v>5000</v>
      </c>
      <c r="D4" s="6">
        <v>6800</v>
      </c>
      <c r="E4" s="6">
        <f t="shared" si="0"/>
        <v>-1800</v>
      </c>
      <c r="F4" s="7">
        <f t="shared" si="1"/>
        <v>1.36</v>
      </c>
      <c r="G4" s="5" t="str">
        <f t="shared" si="2"/>
        <v>Over Budget</v>
      </c>
      <c r="H4" s="5" t="str">
        <f t="shared" si="3"/>
        <v>Reduce spending</v>
      </c>
    </row>
    <row r="5" spans="1:8" ht="19.95" customHeight="1" x14ac:dyDescent="0.3">
      <c r="A5" s="2" t="s">
        <v>77</v>
      </c>
      <c r="B5" s="2" t="s">
        <v>198</v>
      </c>
      <c r="C5" s="3">
        <v>2000</v>
      </c>
      <c r="D5" s="3">
        <v>1500</v>
      </c>
      <c r="E5" s="3">
        <f t="shared" si="0"/>
        <v>500</v>
      </c>
      <c r="F5" s="4">
        <f t="shared" si="1"/>
        <v>0.75</v>
      </c>
      <c r="G5" s="2" t="str">
        <f t="shared" si="2"/>
        <v>Under Budget</v>
      </c>
      <c r="H5" s="2" t="str">
        <f t="shared" si="3"/>
        <v>Good</v>
      </c>
    </row>
    <row r="6" spans="1:8" ht="19.95" customHeight="1" x14ac:dyDescent="0.3">
      <c r="A6" s="5" t="s">
        <v>199</v>
      </c>
      <c r="B6" s="5" t="s">
        <v>200</v>
      </c>
      <c r="C6" s="6">
        <v>8000</v>
      </c>
      <c r="D6" s="6">
        <v>7500</v>
      </c>
      <c r="E6" s="6">
        <f t="shared" si="0"/>
        <v>500</v>
      </c>
      <c r="F6" s="7">
        <f t="shared" si="1"/>
        <v>0.9375</v>
      </c>
      <c r="G6" s="5" t="str">
        <f t="shared" si="2"/>
        <v>Under Budget</v>
      </c>
      <c r="H6" s="5" t="str">
        <f t="shared" si="3"/>
        <v>Good</v>
      </c>
    </row>
    <row r="7" spans="1:8" ht="19.95" customHeight="1" x14ac:dyDescent="0.3">
      <c r="A7" s="2" t="s">
        <v>199</v>
      </c>
      <c r="B7" s="2" t="s">
        <v>201</v>
      </c>
      <c r="C7" s="3">
        <v>2000</v>
      </c>
      <c r="D7" s="3">
        <v>1800</v>
      </c>
      <c r="E7" s="3">
        <f t="shared" si="0"/>
        <v>200</v>
      </c>
      <c r="F7" s="4">
        <f t="shared" si="1"/>
        <v>0.9</v>
      </c>
      <c r="G7" s="2" t="str">
        <f t="shared" si="2"/>
        <v>Under Budget</v>
      </c>
      <c r="H7" s="2" t="str">
        <f t="shared" si="3"/>
        <v>Good</v>
      </c>
    </row>
    <row r="8" spans="1:8" ht="19.95" customHeight="1" x14ac:dyDescent="0.3">
      <c r="A8" s="5" t="s">
        <v>199</v>
      </c>
      <c r="B8" s="5" t="s">
        <v>202</v>
      </c>
      <c r="C8" s="6">
        <v>3000</v>
      </c>
      <c r="D8" s="6">
        <v>4200</v>
      </c>
      <c r="E8" s="6">
        <f t="shared" si="0"/>
        <v>-1200</v>
      </c>
      <c r="F8" s="7">
        <f t="shared" si="1"/>
        <v>1.4</v>
      </c>
      <c r="G8" s="5" t="str">
        <f t="shared" si="2"/>
        <v>Over Budget</v>
      </c>
      <c r="H8" s="5" t="str">
        <f t="shared" si="3"/>
        <v>Reduce spending</v>
      </c>
    </row>
    <row r="9" spans="1:8" ht="19.95" customHeight="1" x14ac:dyDescent="0.3">
      <c r="A9" s="2" t="s">
        <v>203</v>
      </c>
      <c r="B9" s="2" t="s">
        <v>204</v>
      </c>
      <c r="C9" s="3">
        <v>25000</v>
      </c>
      <c r="D9" s="3">
        <v>25000</v>
      </c>
      <c r="E9" s="3">
        <f t="shared" si="0"/>
        <v>0</v>
      </c>
      <c r="F9" s="4">
        <f t="shared" si="1"/>
        <v>1</v>
      </c>
      <c r="G9" s="2" t="str">
        <f t="shared" si="2"/>
        <v>On Target</v>
      </c>
      <c r="H9" s="2" t="str">
        <f t="shared" si="3"/>
        <v>Good</v>
      </c>
    </row>
    <row r="10" spans="1:8" ht="19.95" customHeight="1" x14ac:dyDescent="0.3">
      <c r="A10" s="5" t="s">
        <v>203</v>
      </c>
      <c r="B10" s="5" t="s">
        <v>205</v>
      </c>
      <c r="C10" s="6">
        <v>2500</v>
      </c>
      <c r="D10" s="6">
        <v>2800</v>
      </c>
      <c r="E10" s="6">
        <f t="shared" si="0"/>
        <v>-300</v>
      </c>
      <c r="F10" s="7">
        <f t="shared" si="1"/>
        <v>1.1200000000000001</v>
      </c>
      <c r="G10" s="5" t="str">
        <f t="shared" si="2"/>
        <v>Over Budget</v>
      </c>
      <c r="H10" s="5" t="str">
        <f t="shared" si="3"/>
        <v>Reduce spending</v>
      </c>
    </row>
    <row r="11" spans="1:8" ht="19.95" customHeight="1" x14ac:dyDescent="0.3">
      <c r="A11" s="2" t="s">
        <v>203</v>
      </c>
      <c r="B11" s="2" t="s">
        <v>206</v>
      </c>
      <c r="C11" s="3">
        <v>3000</v>
      </c>
      <c r="D11" s="3">
        <v>2950</v>
      </c>
      <c r="E11" s="3">
        <f t="shared" si="0"/>
        <v>50</v>
      </c>
      <c r="F11" s="4">
        <f t="shared" si="1"/>
        <v>0.98333333333333328</v>
      </c>
      <c r="G11" s="2" t="str">
        <f t="shared" si="2"/>
        <v>Under Budget</v>
      </c>
      <c r="H11" s="2" t="str">
        <f t="shared" si="3"/>
        <v>Good</v>
      </c>
    </row>
    <row r="12" spans="1:8" ht="19.95" customHeight="1" x14ac:dyDescent="0.3">
      <c r="A12" s="5" t="s">
        <v>207</v>
      </c>
      <c r="B12" s="5" t="s">
        <v>208</v>
      </c>
      <c r="C12" s="6">
        <v>2000</v>
      </c>
      <c r="D12" s="6">
        <v>1800</v>
      </c>
      <c r="E12" s="6">
        <f t="shared" si="0"/>
        <v>200</v>
      </c>
      <c r="F12" s="7">
        <f t="shared" si="1"/>
        <v>0.9</v>
      </c>
      <c r="G12" s="5" t="str">
        <f t="shared" si="2"/>
        <v>Under Budget</v>
      </c>
      <c r="H12" s="5" t="str">
        <f t="shared" si="3"/>
        <v>Good</v>
      </c>
    </row>
    <row r="13" spans="1:8" ht="19.95" customHeight="1" x14ac:dyDescent="0.3">
      <c r="A13" s="2" t="s">
        <v>207</v>
      </c>
      <c r="B13" s="2" t="s">
        <v>209</v>
      </c>
      <c r="C13" s="3">
        <v>8000</v>
      </c>
      <c r="D13" s="3">
        <v>8000</v>
      </c>
      <c r="E13" s="3">
        <f t="shared" si="0"/>
        <v>0</v>
      </c>
      <c r="F13" s="4">
        <f t="shared" si="1"/>
        <v>1</v>
      </c>
      <c r="G13" s="2" t="str">
        <f t="shared" si="2"/>
        <v>On Target</v>
      </c>
      <c r="H13" s="2" t="str">
        <f t="shared" si="3"/>
        <v>Good</v>
      </c>
    </row>
    <row r="14" spans="1:8" ht="19.95" customHeight="1" x14ac:dyDescent="0.3">
      <c r="A14" s="5" t="s">
        <v>207</v>
      </c>
      <c r="B14" s="5" t="s">
        <v>210</v>
      </c>
      <c r="C14" s="6">
        <v>500</v>
      </c>
      <c r="D14" s="6">
        <v>650</v>
      </c>
      <c r="E14" s="6">
        <f t="shared" si="0"/>
        <v>-150</v>
      </c>
      <c r="F14" s="7">
        <f t="shared" si="1"/>
        <v>1.3</v>
      </c>
      <c r="G14" s="5" t="str">
        <f t="shared" si="2"/>
        <v>Over Budget</v>
      </c>
      <c r="H14" s="5" t="str">
        <f t="shared" si="3"/>
        <v>Reduce spending</v>
      </c>
    </row>
    <row r="15" spans="1:8" ht="19.95" customHeight="1" x14ac:dyDescent="0.3">
      <c r="A15" s="2" t="s">
        <v>211</v>
      </c>
      <c r="B15" s="2" t="s">
        <v>212</v>
      </c>
      <c r="C15" s="3">
        <v>1500</v>
      </c>
      <c r="D15" s="3">
        <v>900</v>
      </c>
      <c r="E15" s="3">
        <f t="shared" si="0"/>
        <v>600</v>
      </c>
      <c r="F15" s="4">
        <f t="shared" si="1"/>
        <v>0.6</v>
      </c>
      <c r="G15" s="2" t="str">
        <f t="shared" si="2"/>
        <v>Under Budget</v>
      </c>
      <c r="H15" s="2" t="str">
        <f t="shared" si="3"/>
        <v>Good</v>
      </c>
    </row>
    <row r="16" spans="1:8" ht="19.95" customHeight="1" x14ac:dyDescent="0.3">
      <c r="A16" s="5" t="s">
        <v>211</v>
      </c>
      <c r="B16" s="5" t="s">
        <v>213</v>
      </c>
      <c r="C16" s="6">
        <v>2000</v>
      </c>
      <c r="D16" s="6">
        <v>500</v>
      </c>
      <c r="E16" s="6">
        <f t="shared" si="0"/>
        <v>1500</v>
      </c>
      <c r="F16" s="7">
        <f t="shared" si="1"/>
        <v>0.25</v>
      </c>
      <c r="G16" s="5" t="str">
        <f t="shared" si="2"/>
        <v>Under Budget</v>
      </c>
      <c r="H16" s="5" t="str">
        <f t="shared" si="3"/>
        <v>Good</v>
      </c>
    </row>
    <row r="17" spans="1:8" ht="19.95" customHeight="1" x14ac:dyDescent="0.3">
      <c r="A17" s="2" t="s">
        <v>214</v>
      </c>
      <c r="B17" s="2" t="s">
        <v>215</v>
      </c>
      <c r="C17" s="3">
        <v>1500</v>
      </c>
      <c r="D17" s="3">
        <v>2200</v>
      </c>
      <c r="E17" s="3">
        <f t="shared" si="0"/>
        <v>-700</v>
      </c>
      <c r="F17" s="4">
        <f t="shared" si="1"/>
        <v>1.4666666666666666</v>
      </c>
      <c r="G17" s="2" t="str">
        <f t="shared" si="2"/>
        <v>Over Budget</v>
      </c>
      <c r="H17" s="2" t="str">
        <f t="shared" si="3"/>
        <v>Reduce spending</v>
      </c>
    </row>
    <row r="18" spans="1:8" ht="19.95" customHeight="1" x14ac:dyDescent="0.3">
      <c r="A18" s="5" t="s">
        <v>214</v>
      </c>
      <c r="B18" s="5" t="s">
        <v>216</v>
      </c>
      <c r="C18" s="6">
        <v>1000</v>
      </c>
      <c r="D18" s="6">
        <v>800</v>
      </c>
      <c r="E18" s="6">
        <f t="shared" si="0"/>
        <v>200</v>
      </c>
      <c r="F18" s="7">
        <f t="shared" si="1"/>
        <v>0.8</v>
      </c>
      <c r="G18" s="5" t="str">
        <f t="shared" si="2"/>
        <v>Under Budget</v>
      </c>
      <c r="H18" s="5" t="str">
        <f t="shared" si="3"/>
        <v>Good</v>
      </c>
    </row>
    <row r="19" spans="1:8" ht="19.95" customHeight="1" x14ac:dyDescent="0.3">
      <c r="A19" s="2" t="s">
        <v>217</v>
      </c>
      <c r="B19" s="2" t="s">
        <v>218</v>
      </c>
      <c r="C19" s="3">
        <v>5000</v>
      </c>
      <c r="D19" s="3">
        <v>5000</v>
      </c>
      <c r="E19" s="3">
        <f t="shared" si="0"/>
        <v>0</v>
      </c>
      <c r="F19" s="4">
        <f t="shared" si="1"/>
        <v>1</v>
      </c>
      <c r="G19" s="2" t="str">
        <f t="shared" si="2"/>
        <v>On Target</v>
      </c>
      <c r="H19" s="2" t="str">
        <f t="shared" si="3"/>
        <v>Good</v>
      </c>
    </row>
    <row r="20" spans="1:8" ht="19.95" customHeight="1" x14ac:dyDescent="0.3">
      <c r="A20" s="5" t="s">
        <v>217</v>
      </c>
      <c r="B20" s="5" t="s">
        <v>219</v>
      </c>
      <c r="C20" s="6">
        <v>10000</v>
      </c>
      <c r="D20" s="6">
        <v>8000</v>
      </c>
      <c r="E20" s="6">
        <f t="shared" si="0"/>
        <v>2000</v>
      </c>
      <c r="F20" s="7">
        <f t="shared" si="1"/>
        <v>0.8</v>
      </c>
      <c r="G20" s="5" t="str">
        <f t="shared" si="2"/>
        <v>Under Budget</v>
      </c>
      <c r="H20" s="5" t="str">
        <f t="shared" si="3"/>
        <v>Good</v>
      </c>
    </row>
    <row r="21" spans="1:8" x14ac:dyDescent="0.3">
      <c r="A21" s="30" t="s">
        <v>220</v>
      </c>
      <c r="B21" s="27"/>
      <c r="C21" s="19">
        <f>SUM(C3:C20)</f>
        <v>97000</v>
      </c>
      <c r="D21" s="19">
        <f>SUM(D3:D20)</f>
        <v>94600</v>
      </c>
      <c r="E21" s="19">
        <f>SUM(E3:E20)</f>
        <v>2400</v>
      </c>
      <c r="F21" s="20">
        <f t="shared" si="1"/>
        <v>0.97525773195876286</v>
      </c>
    </row>
  </sheetData>
  <mergeCells count="2">
    <mergeCell ref="A1:H1"/>
    <mergeCell ref="A21:B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showGridLines="0" workbookViewId="0">
      <selection sqref="A1:XFD1"/>
    </sheetView>
  </sheetViews>
  <sheetFormatPr defaultRowHeight="14.4" x14ac:dyDescent="0.3"/>
  <cols>
    <col min="1" max="1" width="9" customWidth="1"/>
    <col min="2" max="2" width="20" customWidth="1"/>
    <col min="3" max="3" width="28" customWidth="1"/>
    <col min="4" max="4" width="14" customWidth="1"/>
    <col min="5" max="5" width="12" customWidth="1"/>
    <col min="6" max="6" width="14" customWidth="1"/>
    <col min="7" max="7" width="12" customWidth="1"/>
    <col min="8" max="9" width="14" customWidth="1"/>
    <col min="10" max="10" width="28" customWidth="1"/>
    <col min="11" max="11" width="16" customWidth="1"/>
    <col min="12" max="12" width="15" customWidth="1"/>
  </cols>
  <sheetData>
    <row r="1" spans="1:12" x14ac:dyDescent="0.3">
      <c r="A1" s="22" t="s">
        <v>221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30" customHeight="1" x14ac:dyDescent="0.3">
      <c r="A2" s="21" t="s">
        <v>1</v>
      </c>
      <c r="B2" s="21" t="s">
        <v>222</v>
      </c>
      <c r="C2" s="21" t="s">
        <v>223</v>
      </c>
      <c r="D2" s="21" t="s">
        <v>224</v>
      </c>
      <c r="E2" s="21" t="s">
        <v>225</v>
      </c>
      <c r="F2" s="21" t="s">
        <v>3</v>
      </c>
      <c r="G2" s="21" t="s">
        <v>226</v>
      </c>
      <c r="H2" s="21" t="s">
        <v>227</v>
      </c>
      <c r="I2" s="21" t="s">
        <v>228</v>
      </c>
      <c r="J2" s="21" t="s">
        <v>229</v>
      </c>
      <c r="K2" s="21" t="s">
        <v>230</v>
      </c>
      <c r="L2" s="21" t="s">
        <v>231</v>
      </c>
    </row>
    <row r="3" spans="1:12" ht="19.95" customHeight="1" x14ac:dyDescent="0.3">
      <c r="A3" s="2" t="s">
        <v>232</v>
      </c>
      <c r="B3" s="2" t="s">
        <v>233</v>
      </c>
      <c r="C3" s="2" t="s">
        <v>234</v>
      </c>
      <c r="D3" s="2" t="s">
        <v>235</v>
      </c>
      <c r="E3" s="2" t="s">
        <v>236</v>
      </c>
      <c r="F3" s="2" t="s">
        <v>12</v>
      </c>
      <c r="G3" s="3">
        <v>55000</v>
      </c>
      <c r="H3" s="2" t="str">
        <f t="shared" ref="H3:H12" si="0">LEFT(TRIM(PROPER(B3)),FIND(" ",TRIM(PROPER(B3)))-1)</f>
        <v>Aarav</v>
      </c>
      <c r="I3" s="2" t="str">
        <f t="shared" ref="I3:I12" si="1">MID(TRIM(PROPER(B3)),FIND(" ",TRIM(PROPER(B3)))+1,LEN(TRIM(PROPER(B3))))</f>
        <v>Sharma</v>
      </c>
      <c r="J3" s="2" t="str">
        <f t="shared" ref="J3:J12" si="2">LOWER(TRIM(C3))</f>
        <v>aarav.sharma@company.com</v>
      </c>
      <c r="K3" s="2">
        <f t="shared" ref="K3:K12" ca="1" si="3">DATEDIF(E3,TODAY(),"Y")</f>
        <v>7</v>
      </c>
      <c r="L3" s="3">
        <f t="shared" ref="L3:L12" ca="1" si="4">G3*MIN(K3*0.1,0.3)*12</f>
        <v>198000</v>
      </c>
    </row>
    <row r="4" spans="1:12" ht="19.95" customHeight="1" x14ac:dyDescent="0.3">
      <c r="A4" s="5" t="s">
        <v>237</v>
      </c>
      <c r="B4" s="5" t="s">
        <v>238</v>
      </c>
      <c r="C4" s="5" t="s">
        <v>239</v>
      </c>
      <c r="D4" s="5" t="s">
        <v>240</v>
      </c>
      <c r="E4" s="5" t="s">
        <v>241</v>
      </c>
      <c r="F4" s="5" t="s">
        <v>16</v>
      </c>
      <c r="G4" s="6">
        <v>48000</v>
      </c>
      <c r="H4" s="5" t="str">
        <f t="shared" si="0"/>
        <v>Binita</v>
      </c>
      <c r="I4" s="5" t="str">
        <f t="shared" si="1"/>
        <v>Tamang</v>
      </c>
      <c r="J4" s="5" t="str">
        <f t="shared" si="2"/>
        <v>binita.tamang@company.com</v>
      </c>
      <c r="K4" s="5">
        <f t="shared" ca="1" si="3"/>
        <v>4</v>
      </c>
      <c r="L4" s="6">
        <f t="shared" ca="1" si="4"/>
        <v>172800</v>
      </c>
    </row>
    <row r="5" spans="1:12" ht="19.95" customHeight="1" x14ac:dyDescent="0.3">
      <c r="A5" s="2" t="s">
        <v>242</v>
      </c>
      <c r="B5" s="2" t="s">
        <v>243</v>
      </c>
      <c r="C5" s="2" t="s">
        <v>244</v>
      </c>
      <c r="D5" s="2" t="s">
        <v>245</v>
      </c>
      <c r="E5" s="2" t="s">
        <v>246</v>
      </c>
      <c r="F5" s="2" t="s">
        <v>21</v>
      </c>
      <c r="G5" s="3">
        <v>65000</v>
      </c>
      <c r="H5" s="2" t="str">
        <f t="shared" si="0"/>
        <v>Bikash</v>
      </c>
      <c r="I5" s="2" t="str">
        <f t="shared" si="1"/>
        <v>Rai</v>
      </c>
      <c r="J5" s="2" t="str">
        <f t="shared" si="2"/>
        <v>bikash.rai@company.com</v>
      </c>
      <c r="K5" s="2">
        <f t="shared" ca="1" si="3"/>
        <v>7</v>
      </c>
      <c r="L5" s="3">
        <f t="shared" ca="1" si="4"/>
        <v>234000</v>
      </c>
    </row>
    <row r="6" spans="1:12" ht="19.95" customHeight="1" x14ac:dyDescent="0.3">
      <c r="A6" s="5" t="s">
        <v>247</v>
      </c>
      <c r="B6" s="5" t="s">
        <v>248</v>
      </c>
      <c r="C6" s="5" t="s">
        <v>249</v>
      </c>
      <c r="D6" s="5" t="s">
        <v>250</v>
      </c>
      <c r="E6" s="5" t="s">
        <v>251</v>
      </c>
      <c r="F6" s="5" t="s">
        <v>252</v>
      </c>
      <c r="G6" s="6">
        <v>42000</v>
      </c>
      <c r="H6" s="5" t="str">
        <f t="shared" si="0"/>
        <v>Sita</v>
      </c>
      <c r="I6" s="5" t="str">
        <f t="shared" si="1"/>
        <v>Gurung</v>
      </c>
      <c r="J6" s="5" t="str">
        <f t="shared" si="2"/>
        <v>sita.gurung@company.com</v>
      </c>
      <c r="K6" s="5">
        <f t="shared" ca="1" si="3"/>
        <v>4</v>
      </c>
      <c r="L6" s="6">
        <f t="shared" ca="1" si="4"/>
        <v>151200</v>
      </c>
    </row>
    <row r="7" spans="1:12" ht="19.95" customHeight="1" x14ac:dyDescent="0.3">
      <c r="A7" s="2" t="s">
        <v>253</v>
      </c>
      <c r="B7" s="2" t="s">
        <v>254</v>
      </c>
      <c r="C7" s="2" t="s">
        <v>255</v>
      </c>
      <c r="D7" s="2" t="s">
        <v>256</v>
      </c>
      <c r="E7" s="2" t="s">
        <v>257</v>
      </c>
      <c r="F7" s="2" t="s">
        <v>12</v>
      </c>
      <c r="G7" s="3">
        <v>52000</v>
      </c>
      <c r="H7" s="2" t="str">
        <f t="shared" si="0"/>
        <v>Raju</v>
      </c>
      <c r="I7" s="2" t="str">
        <f t="shared" si="1"/>
        <v>Magar</v>
      </c>
      <c r="J7" s="2" t="str">
        <f t="shared" si="2"/>
        <v>raju.magar@company.com</v>
      </c>
      <c r="K7" s="2">
        <f t="shared" ca="1" si="3"/>
        <v>5</v>
      </c>
      <c r="L7" s="3">
        <f t="shared" ca="1" si="4"/>
        <v>187200</v>
      </c>
    </row>
    <row r="8" spans="1:12" ht="19.95" customHeight="1" x14ac:dyDescent="0.3">
      <c r="A8" s="5" t="s">
        <v>258</v>
      </c>
      <c r="B8" s="5" t="s">
        <v>259</v>
      </c>
      <c r="C8" s="5" t="s">
        <v>260</v>
      </c>
      <c r="D8" s="5" t="s">
        <v>261</v>
      </c>
      <c r="E8" s="5" t="s">
        <v>262</v>
      </c>
      <c r="F8" s="5" t="s">
        <v>21</v>
      </c>
      <c r="G8" s="6">
        <v>72000</v>
      </c>
      <c r="H8" s="5" t="str">
        <f t="shared" si="0"/>
        <v>Mohan</v>
      </c>
      <c r="I8" s="5" t="str">
        <f t="shared" si="1"/>
        <v>Thapa</v>
      </c>
      <c r="J8" s="5" t="str">
        <f t="shared" si="2"/>
        <v>mohan.thapa@company.com</v>
      </c>
      <c r="K8" s="5">
        <f t="shared" ca="1" si="3"/>
        <v>8</v>
      </c>
      <c r="L8" s="6">
        <f t="shared" ca="1" si="4"/>
        <v>259200</v>
      </c>
    </row>
    <row r="9" spans="1:12" ht="19.95" customHeight="1" x14ac:dyDescent="0.3">
      <c r="A9" s="2" t="s">
        <v>263</v>
      </c>
      <c r="B9" s="2" t="s">
        <v>264</v>
      </c>
      <c r="C9" s="2" t="s">
        <v>265</v>
      </c>
      <c r="D9" s="2" t="s">
        <v>266</v>
      </c>
      <c r="E9" s="2" t="s">
        <v>267</v>
      </c>
      <c r="F9" s="2" t="s">
        <v>16</v>
      </c>
      <c r="G9" s="3">
        <v>44000</v>
      </c>
      <c r="H9" s="2" t="str">
        <f t="shared" si="0"/>
        <v>Gita</v>
      </c>
      <c r="I9" s="2" t="str">
        <f t="shared" si="1"/>
        <v>Kumari</v>
      </c>
      <c r="J9" s="2" t="str">
        <f t="shared" si="2"/>
        <v>gita.kumari@company.com</v>
      </c>
      <c r="K9" s="2">
        <f t="shared" ca="1" si="3"/>
        <v>3</v>
      </c>
      <c r="L9" s="3">
        <f t="shared" ca="1" si="4"/>
        <v>158400</v>
      </c>
    </row>
    <row r="10" spans="1:12" ht="19.95" customHeight="1" x14ac:dyDescent="0.3">
      <c r="A10" s="5" t="s">
        <v>268</v>
      </c>
      <c r="B10" s="5" t="s">
        <v>269</v>
      </c>
      <c r="C10" s="5" t="s">
        <v>270</v>
      </c>
      <c r="D10" s="5" t="s">
        <v>271</v>
      </c>
      <c r="E10" s="5" t="s">
        <v>272</v>
      </c>
      <c r="F10" s="5" t="s">
        <v>273</v>
      </c>
      <c r="G10" s="6">
        <v>78000</v>
      </c>
      <c r="H10" s="5" t="str">
        <f t="shared" si="0"/>
        <v>Bishnu</v>
      </c>
      <c r="I10" s="5" t="str">
        <f t="shared" si="1"/>
        <v>Lal</v>
      </c>
      <c r="J10" s="5" t="str">
        <f t="shared" si="2"/>
        <v>bishnu.lal@company.com</v>
      </c>
      <c r="K10" s="5">
        <f t="shared" ca="1" si="3"/>
        <v>9</v>
      </c>
      <c r="L10" s="6">
        <f t="shared" ca="1" si="4"/>
        <v>280800</v>
      </c>
    </row>
    <row r="11" spans="1:12" ht="19.95" customHeight="1" x14ac:dyDescent="0.3">
      <c r="A11" s="2" t="s">
        <v>274</v>
      </c>
      <c r="B11" s="2" t="s">
        <v>275</v>
      </c>
      <c r="C11" s="2" t="s">
        <v>276</v>
      </c>
      <c r="D11" s="2" t="s">
        <v>277</v>
      </c>
      <c r="E11" s="2" t="s">
        <v>278</v>
      </c>
      <c r="F11" s="2" t="s">
        <v>252</v>
      </c>
      <c r="G11" s="3">
        <v>45000</v>
      </c>
      <c r="H11" s="2" t="str">
        <f t="shared" si="0"/>
        <v>Nisha</v>
      </c>
      <c r="I11" s="2" t="str">
        <f t="shared" si="1"/>
        <v>Koirala</v>
      </c>
      <c r="J11" s="2" t="str">
        <f t="shared" si="2"/>
        <v>nisha.koirala@company.com</v>
      </c>
      <c r="K11" s="2">
        <f t="shared" ca="1" si="3"/>
        <v>4</v>
      </c>
      <c r="L11" s="3">
        <f t="shared" ca="1" si="4"/>
        <v>162000</v>
      </c>
    </row>
    <row r="12" spans="1:12" ht="19.95" customHeight="1" x14ac:dyDescent="0.3">
      <c r="A12" s="5" t="s">
        <v>279</v>
      </c>
      <c r="B12" s="5" t="s">
        <v>280</v>
      </c>
      <c r="C12" s="5" t="s">
        <v>281</v>
      </c>
      <c r="D12" s="5" t="s">
        <v>282</v>
      </c>
      <c r="E12" s="5" t="s">
        <v>283</v>
      </c>
      <c r="F12" s="5" t="s">
        <v>273</v>
      </c>
      <c r="G12" s="6">
        <v>60000</v>
      </c>
      <c r="H12" s="5" t="str">
        <f t="shared" si="0"/>
        <v>Omkar</v>
      </c>
      <c r="I12" s="5" t="str">
        <f t="shared" si="1"/>
        <v>Singh</v>
      </c>
      <c r="J12" s="5" t="str">
        <f t="shared" si="2"/>
        <v>omkar.singh@company.com</v>
      </c>
      <c r="K12" s="5">
        <f t="shared" ca="1" si="3"/>
        <v>6</v>
      </c>
      <c r="L12" s="6">
        <f t="shared" ca="1" si="4"/>
        <v>216000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showGridLines="0" workbookViewId="0">
      <selection sqref="A1:XFD1"/>
    </sheetView>
  </sheetViews>
  <sheetFormatPr defaultRowHeight="14.4" x14ac:dyDescent="0.3"/>
  <cols>
    <col min="1" max="1" width="10" customWidth="1"/>
    <col min="2" max="2" width="20" customWidth="1"/>
    <col min="3" max="5" width="14" customWidth="1"/>
    <col min="6" max="6" width="2" customWidth="1"/>
    <col min="7" max="7" width="10" customWidth="1"/>
    <col min="8" max="8" width="20" customWidth="1"/>
    <col min="9" max="11" width="14" customWidth="1"/>
  </cols>
  <sheetData>
    <row r="1" spans="1:11" x14ac:dyDescent="0.3">
      <c r="A1" s="31" t="s">
        <v>284</v>
      </c>
      <c r="B1" s="31"/>
      <c r="C1" s="31"/>
      <c r="D1" s="31"/>
      <c r="E1" s="31"/>
      <c r="F1" s="31"/>
      <c r="G1" s="31"/>
      <c r="H1" s="31"/>
      <c r="I1" s="31"/>
      <c r="J1" s="31"/>
    </row>
    <row r="2" spans="1:11" ht="24" customHeight="1" x14ac:dyDescent="0.3">
      <c r="A2" s="28" t="s">
        <v>285</v>
      </c>
      <c r="B2" s="27"/>
      <c r="C2" s="27"/>
      <c r="D2" s="27"/>
      <c r="E2" s="27"/>
      <c r="G2" s="32" t="s">
        <v>286</v>
      </c>
      <c r="H2" s="27"/>
      <c r="I2" s="27"/>
      <c r="J2" s="27"/>
    </row>
    <row r="3" spans="1:11" ht="27.6" x14ac:dyDescent="0.3">
      <c r="A3" s="9" t="s">
        <v>287</v>
      </c>
      <c r="B3" s="9" t="s">
        <v>127</v>
      </c>
      <c r="C3" s="9" t="s">
        <v>58</v>
      </c>
      <c r="D3" s="9" t="s">
        <v>56</v>
      </c>
      <c r="E3" s="9" t="s">
        <v>288</v>
      </c>
      <c r="G3" s="1" t="s">
        <v>287</v>
      </c>
      <c r="H3" s="1" t="s">
        <v>127</v>
      </c>
      <c r="I3" s="1" t="s">
        <v>58</v>
      </c>
      <c r="J3" s="1" t="s">
        <v>289</v>
      </c>
      <c r="K3" s="1" t="s">
        <v>290</v>
      </c>
    </row>
    <row r="4" spans="1:11" x14ac:dyDescent="0.3">
      <c r="A4" s="5" t="s">
        <v>291</v>
      </c>
      <c r="B4" s="5" t="s">
        <v>292</v>
      </c>
      <c r="C4" s="6">
        <v>85000</v>
      </c>
      <c r="D4" s="5" t="s">
        <v>66</v>
      </c>
      <c r="E4" s="5" t="s">
        <v>293</v>
      </c>
      <c r="G4" s="5" t="s">
        <v>294</v>
      </c>
      <c r="H4" s="5" t="str">
        <f t="shared" ref="H4:H11" si="0">IFERROR(VLOOKUP(G4,$A$4:$E$13,2,FALSE),"Not Found")</f>
        <v>A4 Paper Ream</v>
      </c>
      <c r="I4" s="6">
        <f t="shared" ref="I4:I11" si="1">IFERROR(VLOOKUP(G4,$A$4:$E$13,3,FALSE),0)</f>
        <v>550</v>
      </c>
      <c r="J4" s="5">
        <v>5</v>
      </c>
      <c r="K4" s="6">
        <f t="shared" ref="K4:K11" si="2">I4*J4</f>
        <v>2750</v>
      </c>
    </row>
    <row r="5" spans="1:11" x14ac:dyDescent="0.3">
      <c r="A5" s="2" t="s">
        <v>295</v>
      </c>
      <c r="B5" s="2" t="s">
        <v>296</v>
      </c>
      <c r="C5" s="3">
        <v>850</v>
      </c>
      <c r="D5" s="2" t="s">
        <v>66</v>
      </c>
      <c r="E5" s="2" t="s">
        <v>293</v>
      </c>
      <c r="G5" s="2" t="s">
        <v>291</v>
      </c>
      <c r="H5" s="2" t="str">
        <f t="shared" si="0"/>
        <v>Laptop HP 15</v>
      </c>
      <c r="I5" s="3">
        <f t="shared" si="1"/>
        <v>85000</v>
      </c>
      <c r="J5" s="2">
        <v>2</v>
      </c>
      <c r="K5" s="3">
        <f t="shared" si="2"/>
        <v>170000</v>
      </c>
    </row>
    <row r="6" spans="1:11" x14ac:dyDescent="0.3">
      <c r="A6" s="5" t="s">
        <v>294</v>
      </c>
      <c r="B6" s="5" t="s">
        <v>297</v>
      </c>
      <c r="C6" s="6">
        <v>550</v>
      </c>
      <c r="D6" s="5" t="s">
        <v>210</v>
      </c>
      <c r="E6" s="5" t="s">
        <v>298</v>
      </c>
      <c r="G6" s="5" t="s">
        <v>299</v>
      </c>
      <c r="H6" s="5" t="str">
        <f t="shared" si="0"/>
        <v>Notebook 200pg</v>
      </c>
      <c r="I6" s="6">
        <f t="shared" si="1"/>
        <v>120</v>
      </c>
      <c r="J6" s="5">
        <v>20</v>
      </c>
      <c r="K6" s="6">
        <f t="shared" si="2"/>
        <v>2400</v>
      </c>
    </row>
    <row r="7" spans="1:11" x14ac:dyDescent="0.3">
      <c r="A7" s="2" t="s">
        <v>300</v>
      </c>
      <c r="B7" s="2" t="s">
        <v>301</v>
      </c>
      <c r="C7" s="3">
        <v>12000</v>
      </c>
      <c r="D7" s="2" t="s">
        <v>98</v>
      </c>
      <c r="E7" s="2" t="s">
        <v>302</v>
      </c>
      <c r="G7" s="2" t="s">
        <v>300</v>
      </c>
      <c r="H7" s="2" t="str">
        <f t="shared" si="0"/>
        <v>Office Chair</v>
      </c>
      <c r="I7" s="3">
        <f t="shared" si="1"/>
        <v>12000</v>
      </c>
      <c r="J7" s="2">
        <v>3</v>
      </c>
      <c r="K7" s="3">
        <f t="shared" si="2"/>
        <v>36000</v>
      </c>
    </row>
    <row r="8" spans="1:11" x14ac:dyDescent="0.3">
      <c r="A8" s="5" t="s">
        <v>303</v>
      </c>
      <c r="B8" s="5" t="s">
        <v>304</v>
      </c>
      <c r="C8" s="6">
        <v>1200</v>
      </c>
      <c r="D8" s="5" t="s">
        <v>66</v>
      </c>
      <c r="E8" s="5" t="s">
        <v>293</v>
      </c>
      <c r="G8" s="5" t="s">
        <v>295</v>
      </c>
      <c r="H8" s="5" t="str">
        <f t="shared" si="0"/>
        <v>Wireless Mouse</v>
      </c>
      <c r="I8" s="6">
        <f t="shared" si="1"/>
        <v>850</v>
      </c>
      <c r="J8" s="5">
        <v>10</v>
      </c>
      <c r="K8" s="6">
        <f t="shared" si="2"/>
        <v>8500</v>
      </c>
    </row>
    <row r="9" spans="1:11" x14ac:dyDescent="0.3">
      <c r="A9" s="2" t="s">
        <v>299</v>
      </c>
      <c r="B9" s="2" t="s">
        <v>305</v>
      </c>
      <c r="C9" s="3">
        <v>120</v>
      </c>
      <c r="D9" s="2" t="s">
        <v>210</v>
      </c>
      <c r="E9" s="2" t="s">
        <v>298</v>
      </c>
      <c r="G9" s="2" t="s">
        <v>306</v>
      </c>
      <c r="H9" s="2" t="str">
        <f t="shared" si="0"/>
        <v>Webcam HD</v>
      </c>
      <c r="I9" s="3">
        <f t="shared" si="1"/>
        <v>3500</v>
      </c>
      <c r="J9" s="2">
        <v>4</v>
      </c>
      <c r="K9" s="3">
        <f t="shared" si="2"/>
        <v>14000</v>
      </c>
    </row>
    <row r="10" spans="1:11" x14ac:dyDescent="0.3">
      <c r="A10" s="5" t="s">
        <v>307</v>
      </c>
      <c r="B10" s="5" t="s">
        <v>308</v>
      </c>
      <c r="C10" s="6">
        <v>45000</v>
      </c>
      <c r="D10" s="5" t="s">
        <v>98</v>
      </c>
      <c r="E10" s="5" t="s">
        <v>302</v>
      </c>
      <c r="G10" s="5" t="s">
        <v>303</v>
      </c>
      <c r="H10" s="5" t="str">
        <f t="shared" si="0"/>
        <v>USB Hub 4-Port</v>
      </c>
      <c r="I10" s="6">
        <f t="shared" si="1"/>
        <v>1200</v>
      </c>
      <c r="J10" s="5">
        <v>8</v>
      </c>
      <c r="K10" s="6">
        <f t="shared" si="2"/>
        <v>9600</v>
      </c>
    </row>
    <row r="11" spans="1:11" x14ac:dyDescent="0.3">
      <c r="A11" s="2" t="s">
        <v>306</v>
      </c>
      <c r="B11" s="2" t="s">
        <v>309</v>
      </c>
      <c r="C11" s="3">
        <v>3500</v>
      </c>
      <c r="D11" s="2" t="s">
        <v>66</v>
      </c>
      <c r="E11" s="2" t="s">
        <v>293</v>
      </c>
      <c r="G11" s="2" t="s">
        <v>310</v>
      </c>
      <c r="H11" s="2" t="str">
        <f t="shared" si="0"/>
        <v>Pen (Box 12)</v>
      </c>
      <c r="I11" s="3">
        <f t="shared" si="1"/>
        <v>180</v>
      </c>
      <c r="J11" s="2">
        <v>15</v>
      </c>
      <c r="K11" s="3">
        <f t="shared" si="2"/>
        <v>2700</v>
      </c>
    </row>
    <row r="12" spans="1:11" x14ac:dyDescent="0.3">
      <c r="A12" s="5" t="s">
        <v>310</v>
      </c>
      <c r="B12" s="5" t="s">
        <v>311</v>
      </c>
      <c r="C12" s="6">
        <v>180</v>
      </c>
      <c r="D12" s="5" t="s">
        <v>210</v>
      </c>
      <c r="E12" s="5" t="s">
        <v>298</v>
      </c>
    </row>
    <row r="13" spans="1:11" x14ac:dyDescent="0.3">
      <c r="A13" s="2" t="s">
        <v>312</v>
      </c>
      <c r="B13" s="2" t="s">
        <v>313</v>
      </c>
      <c r="C13" s="3">
        <v>8500</v>
      </c>
      <c r="D13" s="2" t="s">
        <v>98</v>
      </c>
      <c r="E13" s="2" t="s">
        <v>302</v>
      </c>
    </row>
  </sheetData>
  <mergeCells count="3">
    <mergeCell ref="A2:E2"/>
    <mergeCell ref="A1:J1"/>
    <mergeCell ref="G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 Employee Sales</vt:lpstr>
      <vt:lpstr>02 Supermarket Sales</vt:lpstr>
      <vt:lpstr>03 Student Marks</vt:lpstr>
      <vt:lpstr>04 Budget Tracker</vt:lpstr>
      <vt:lpstr>05 HR Employee Data</vt:lpstr>
      <vt:lpstr>06 Inventory 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Sauhar Khanal</cp:lastModifiedBy>
  <dcterms:created xsi:type="dcterms:W3CDTF">2026-05-20T13:10:11Z</dcterms:created>
  <dcterms:modified xsi:type="dcterms:W3CDTF">2026-05-21T02:17:48Z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2026-05-20T15:06:30Z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71a97129-3558-401b-a57e-8817384a8fbd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